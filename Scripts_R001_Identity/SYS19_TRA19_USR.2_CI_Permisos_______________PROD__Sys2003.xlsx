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Tomza.TI\HGonzalezF.TI\1.SOL_Soluciones\ADG18_Administradora_2006\Codigo\CodigoSQL\ADG18_Liberacion_R0.00_Base_V0118\Scripts_R001_Identity\"/>
    </mc:Choice>
  </mc:AlternateContent>
  <bookViews>
    <workbookView xWindow="0" yWindow="0" windowWidth="20436" windowHeight="7596"/>
  </bookViews>
  <sheets>
    <sheet name="CLIENTE" sheetId="2" r:id="rId1"/>
  </sheets>
  <definedNames>
    <definedName name="_xlnm._FilterDatabase" localSheetId="0" hidden="1">CLIENTE!$A$2:$AC$258</definedName>
  </definedNames>
  <calcPr calcId="152511"/>
</workbook>
</file>

<file path=xl/calcChain.xml><?xml version="1.0" encoding="utf-8"?>
<calcChain xmlns="http://schemas.openxmlformats.org/spreadsheetml/2006/main">
  <c r="H119" i="2" l="1"/>
  <c r="H90" i="2"/>
  <c r="H61" i="2"/>
  <c r="H32" i="2"/>
  <c r="H4" i="2"/>
  <c r="F37" i="2"/>
  <c r="F66" i="2" s="1"/>
  <c r="F95" i="2" s="1"/>
  <c r="F124" i="2" s="1"/>
  <c r="B37" i="2"/>
  <c r="A37" i="2"/>
  <c r="B66" i="2"/>
  <c r="A66" i="2"/>
  <c r="B95" i="2"/>
  <c r="A95" i="2"/>
  <c r="B126" i="2"/>
  <c r="A126" i="2"/>
  <c r="B125" i="2"/>
  <c r="A125" i="2"/>
  <c r="B124" i="2"/>
  <c r="A124" i="2"/>
  <c r="B145" i="2"/>
  <c r="A145" i="2"/>
  <c r="B144" i="2"/>
  <c r="A144" i="2"/>
  <c r="B143" i="2"/>
  <c r="A143" i="2"/>
  <c r="B142" i="2"/>
  <c r="A142" i="2"/>
  <c r="B141" i="2"/>
  <c r="A141" i="2"/>
  <c r="B140" i="2"/>
  <c r="A140" i="2"/>
  <c r="B139" i="2"/>
  <c r="A139" i="2"/>
  <c r="B138" i="2"/>
  <c r="A138" i="2"/>
  <c r="B137" i="2"/>
  <c r="A137" i="2"/>
  <c r="B136" i="2"/>
  <c r="A136" i="2"/>
  <c r="B135" i="2"/>
  <c r="A135" i="2"/>
  <c r="B134" i="2"/>
  <c r="A134" i="2"/>
  <c r="B133" i="2"/>
  <c r="A133" i="2"/>
  <c r="B132" i="2"/>
  <c r="A132" i="2"/>
  <c r="B131" i="2"/>
  <c r="A131" i="2"/>
  <c r="B130" i="2"/>
  <c r="A130" i="2"/>
  <c r="B129" i="2"/>
  <c r="A129" i="2"/>
  <c r="B128" i="2"/>
  <c r="A128" i="2"/>
  <c r="B127" i="2"/>
  <c r="A127" i="2"/>
  <c r="B123" i="2"/>
  <c r="A123" i="2"/>
  <c r="B122" i="2"/>
  <c r="A122" i="2"/>
  <c r="B121" i="2"/>
  <c r="A121" i="2"/>
  <c r="C120" i="2"/>
  <c r="H120" i="2" s="1"/>
  <c r="B120" i="2"/>
  <c r="A120" i="2"/>
  <c r="B119" i="2"/>
  <c r="A119" i="2"/>
  <c r="C121" i="2" l="1"/>
  <c r="B257" i="2"/>
  <c r="A257" i="2"/>
  <c r="B256" i="2"/>
  <c r="A256" i="2"/>
  <c r="B255" i="2"/>
  <c r="A255" i="2"/>
  <c r="B254" i="2"/>
  <c r="A254" i="2"/>
  <c r="B253" i="2"/>
  <c r="A253" i="2"/>
  <c r="B252" i="2"/>
  <c r="A252" i="2"/>
  <c r="B251" i="2"/>
  <c r="A251" i="2"/>
  <c r="B250" i="2"/>
  <c r="A250" i="2"/>
  <c r="B249" i="2"/>
  <c r="A249" i="2"/>
  <c r="B248" i="2"/>
  <c r="A248" i="2"/>
  <c r="B247" i="2"/>
  <c r="A247" i="2"/>
  <c r="B246" i="2"/>
  <c r="A246" i="2"/>
  <c r="B245" i="2"/>
  <c r="A245" i="2"/>
  <c r="B244" i="2"/>
  <c r="A244" i="2"/>
  <c r="B243" i="2"/>
  <c r="A243" i="2"/>
  <c r="B242" i="2"/>
  <c r="A242" i="2"/>
  <c r="B241" i="2"/>
  <c r="A241" i="2"/>
  <c r="B240" i="2"/>
  <c r="A240" i="2"/>
  <c r="B239" i="2"/>
  <c r="A239" i="2"/>
  <c r="B238" i="2"/>
  <c r="A238" i="2"/>
  <c r="B237" i="2"/>
  <c r="A237" i="2"/>
  <c r="B236" i="2"/>
  <c r="A236" i="2"/>
  <c r="B235" i="2"/>
  <c r="A235" i="2"/>
  <c r="B234" i="2"/>
  <c r="A234" i="2"/>
  <c r="D233" i="2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C233" i="2"/>
  <c r="C234" i="2" s="1"/>
  <c r="C235" i="2" s="1"/>
  <c r="C236" i="2" s="1"/>
  <c r="C237" i="2" s="1"/>
  <c r="C238" i="2" s="1"/>
  <c r="B233" i="2"/>
  <c r="A233" i="2"/>
  <c r="B232" i="2"/>
  <c r="A232" i="2"/>
  <c r="H232" i="2" s="1"/>
  <c r="B229" i="2"/>
  <c r="A229" i="2"/>
  <c r="B228" i="2"/>
  <c r="A228" i="2"/>
  <c r="B227" i="2"/>
  <c r="A227" i="2"/>
  <c r="B226" i="2"/>
  <c r="A226" i="2"/>
  <c r="B225" i="2"/>
  <c r="A225" i="2"/>
  <c r="B224" i="2"/>
  <c r="A224" i="2"/>
  <c r="B223" i="2"/>
  <c r="A223" i="2"/>
  <c r="B222" i="2"/>
  <c r="A222" i="2"/>
  <c r="B221" i="2"/>
  <c r="A221" i="2"/>
  <c r="B220" i="2"/>
  <c r="A220" i="2"/>
  <c r="B219" i="2"/>
  <c r="A219" i="2"/>
  <c r="B218" i="2"/>
  <c r="A218" i="2"/>
  <c r="B217" i="2"/>
  <c r="A217" i="2"/>
  <c r="B216" i="2"/>
  <c r="A216" i="2"/>
  <c r="B215" i="2"/>
  <c r="A215" i="2"/>
  <c r="B214" i="2"/>
  <c r="A214" i="2"/>
  <c r="B213" i="2"/>
  <c r="A213" i="2"/>
  <c r="B212" i="2"/>
  <c r="A212" i="2"/>
  <c r="B211" i="2"/>
  <c r="A211" i="2"/>
  <c r="B210" i="2"/>
  <c r="A210" i="2"/>
  <c r="B209" i="2"/>
  <c r="A209" i="2"/>
  <c r="B208" i="2"/>
  <c r="A208" i="2"/>
  <c r="B207" i="2"/>
  <c r="A207" i="2"/>
  <c r="B206" i="2"/>
  <c r="A206" i="2"/>
  <c r="D205" i="2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C205" i="2"/>
  <c r="C206" i="2" s="1"/>
  <c r="B205" i="2"/>
  <c r="A205" i="2"/>
  <c r="B204" i="2"/>
  <c r="A204" i="2"/>
  <c r="H204" i="2" s="1"/>
  <c r="B201" i="2"/>
  <c r="A201" i="2"/>
  <c r="B200" i="2"/>
  <c r="A200" i="2"/>
  <c r="B199" i="2"/>
  <c r="A199" i="2"/>
  <c r="B198" i="2"/>
  <c r="A198" i="2"/>
  <c r="B197" i="2"/>
  <c r="A197" i="2"/>
  <c r="B196" i="2"/>
  <c r="A196" i="2"/>
  <c r="B195" i="2"/>
  <c r="A195" i="2"/>
  <c r="B194" i="2"/>
  <c r="A194" i="2"/>
  <c r="B193" i="2"/>
  <c r="A193" i="2"/>
  <c r="B192" i="2"/>
  <c r="A192" i="2"/>
  <c r="B191" i="2"/>
  <c r="A191" i="2"/>
  <c r="B190" i="2"/>
  <c r="A190" i="2"/>
  <c r="B189" i="2"/>
  <c r="A189" i="2"/>
  <c r="B188" i="2"/>
  <c r="A188" i="2"/>
  <c r="B187" i="2"/>
  <c r="A187" i="2"/>
  <c r="B186" i="2"/>
  <c r="A186" i="2"/>
  <c r="B185" i="2"/>
  <c r="A185" i="2"/>
  <c r="B184" i="2"/>
  <c r="A184" i="2"/>
  <c r="B183" i="2"/>
  <c r="A183" i="2"/>
  <c r="B182" i="2"/>
  <c r="A182" i="2"/>
  <c r="B181" i="2"/>
  <c r="A181" i="2"/>
  <c r="B180" i="2"/>
  <c r="A180" i="2"/>
  <c r="B179" i="2"/>
  <c r="A179" i="2"/>
  <c r="B178" i="2"/>
  <c r="A178" i="2"/>
  <c r="D177" i="2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C177" i="2"/>
  <c r="C178" i="2" s="1"/>
  <c r="C179" i="2" s="1"/>
  <c r="B177" i="2"/>
  <c r="A177" i="2"/>
  <c r="B176" i="2"/>
  <c r="A176" i="2"/>
  <c r="H176" i="2" s="1"/>
  <c r="C122" i="2" l="1"/>
  <c r="H121" i="2"/>
  <c r="H233" i="2"/>
  <c r="H234" i="2"/>
  <c r="H235" i="2"/>
  <c r="H238" i="2"/>
  <c r="C239" i="2"/>
  <c r="C240" i="2" s="1"/>
  <c r="C241" i="2" s="1"/>
  <c r="H236" i="2"/>
  <c r="H237" i="2"/>
  <c r="H205" i="2"/>
  <c r="C207" i="2"/>
  <c r="C208" i="2" s="1"/>
  <c r="H206" i="2"/>
  <c r="H177" i="2"/>
  <c r="H178" i="2"/>
  <c r="C180" i="2"/>
  <c r="C181" i="2" s="1"/>
  <c r="C182" i="2" s="1"/>
  <c r="H179" i="2"/>
  <c r="F87" i="2"/>
  <c r="F116" i="2" s="1"/>
  <c r="F145" i="2" s="1"/>
  <c r="F86" i="2"/>
  <c r="F115" i="2" s="1"/>
  <c r="F144" i="2" s="1"/>
  <c r="F85" i="2"/>
  <c r="F114" i="2" s="1"/>
  <c r="F143" i="2" s="1"/>
  <c r="F84" i="2"/>
  <c r="F113" i="2" s="1"/>
  <c r="F142" i="2" s="1"/>
  <c r="F83" i="2"/>
  <c r="F112" i="2" s="1"/>
  <c r="F141" i="2" s="1"/>
  <c r="F82" i="2"/>
  <c r="F111" i="2" s="1"/>
  <c r="F140" i="2" s="1"/>
  <c r="F81" i="2"/>
  <c r="F110" i="2" s="1"/>
  <c r="F139" i="2" s="1"/>
  <c r="F80" i="2"/>
  <c r="F109" i="2" s="1"/>
  <c r="F138" i="2" s="1"/>
  <c r="F79" i="2"/>
  <c r="F108" i="2" s="1"/>
  <c r="F137" i="2" s="1"/>
  <c r="F78" i="2"/>
  <c r="F107" i="2" s="1"/>
  <c r="F136" i="2" s="1"/>
  <c r="F77" i="2"/>
  <c r="F106" i="2" s="1"/>
  <c r="F135" i="2" s="1"/>
  <c r="F76" i="2"/>
  <c r="F105" i="2" s="1"/>
  <c r="F134" i="2" s="1"/>
  <c r="F75" i="2"/>
  <c r="F104" i="2" s="1"/>
  <c r="F133" i="2" s="1"/>
  <c r="F74" i="2"/>
  <c r="F103" i="2" s="1"/>
  <c r="F132" i="2" s="1"/>
  <c r="F73" i="2"/>
  <c r="F102" i="2" s="1"/>
  <c r="F131" i="2" s="1"/>
  <c r="F72" i="2"/>
  <c r="F101" i="2" s="1"/>
  <c r="F130" i="2" s="1"/>
  <c r="F71" i="2"/>
  <c r="F100" i="2" s="1"/>
  <c r="F129" i="2" s="1"/>
  <c r="F70" i="2"/>
  <c r="F99" i="2" s="1"/>
  <c r="F128" i="2" s="1"/>
  <c r="F69" i="2"/>
  <c r="F98" i="2" s="1"/>
  <c r="F127" i="2" s="1"/>
  <c r="F68" i="2"/>
  <c r="F97" i="2" s="1"/>
  <c r="F126" i="2" s="1"/>
  <c r="F67" i="2"/>
  <c r="F96" i="2" s="1"/>
  <c r="F125" i="2" s="1"/>
  <c r="F65" i="2"/>
  <c r="F94" i="2" s="1"/>
  <c r="F123" i="2" s="1"/>
  <c r="F64" i="2"/>
  <c r="F93" i="2" s="1"/>
  <c r="F122" i="2" s="1"/>
  <c r="F63" i="2"/>
  <c r="F92" i="2" s="1"/>
  <c r="F121" i="2" s="1"/>
  <c r="F62" i="2"/>
  <c r="F91" i="2" s="1"/>
  <c r="F120" i="2" s="1"/>
  <c r="F61" i="2"/>
  <c r="F90" i="2" s="1"/>
  <c r="F119" i="2" s="1"/>
  <c r="B116" i="2"/>
  <c r="A116" i="2"/>
  <c r="B115" i="2"/>
  <c r="A115" i="2"/>
  <c r="B114" i="2"/>
  <c r="A114" i="2"/>
  <c r="B113" i="2"/>
  <c r="A113" i="2"/>
  <c r="B112" i="2"/>
  <c r="A112" i="2"/>
  <c r="B111" i="2"/>
  <c r="A111" i="2"/>
  <c r="B110" i="2"/>
  <c r="A110" i="2"/>
  <c r="B109" i="2"/>
  <c r="A109" i="2"/>
  <c r="B108" i="2"/>
  <c r="A108" i="2"/>
  <c r="B107" i="2"/>
  <c r="A107" i="2"/>
  <c r="B106" i="2"/>
  <c r="A106" i="2"/>
  <c r="B105" i="2"/>
  <c r="A105" i="2"/>
  <c r="B104" i="2"/>
  <c r="A104" i="2"/>
  <c r="B103" i="2"/>
  <c r="A103" i="2"/>
  <c r="B102" i="2"/>
  <c r="A102" i="2"/>
  <c r="B101" i="2"/>
  <c r="A101" i="2"/>
  <c r="B100" i="2"/>
  <c r="A100" i="2"/>
  <c r="B99" i="2"/>
  <c r="A99" i="2"/>
  <c r="B98" i="2"/>
  <c r="A98" i="2"/>
  <c r="B97" i="2"/>
  <c r="A97" i="2"/>
  <c r="B96" i="2"/>
  <c r="A96" i="2"/>
  <c r="B94" i="2"/>
  <c r="A94" i="2"/>
  <c r="B93" i="2"/>
  <c r="A93" i="2"/>
  <c r="B92" i="2"/>
  <c r="A92" i="2"/>
  <c r="C91" i="2"/>
  <c r="B91" i="2"/>
  <c r="A91" i="2"/>
  <c r="B90" i="2"/>
  <c r="A90" i="2"/>
  <c r="B87" i="2"/>
  <c r="A87" i="2"/>
  <c r="B86" i="2"/>
  <c r="A86" i="2"/>
  <c r="B85" i="2"/>
  <c r="A85" i="2"/>
  <c r="B84" i="2"/>
  <c r="A84" i="2"/>
  <c r="B83" i="2"/>
  <c r="A83" i="2"/>
  <c r="B82" i="2"/>
  <c r="A82" i="2"/>
  <c r="B81" i="2"/>
  <c r="A81" i="2"/>
  <c r="B80" i="2"/>
  <c r="A80" i="2"/>
  <c r="B79" i="2"/>
  <c r="A79" i="2"/>
  <c r="B78" i="2"/>
  <c r="A78" i="2"/>
  <c r="B77" i="2"/>
  <c r="A77" i="2"/>
  <c r="B76" i="2"/>
  <c r="A76" i="2"/>
  <c r="B75" i="2"/>
  <c r="A75" i="2"/>
  <c r="B74" i="2"/>
  <c r="A74" i="2"/>
  <c r="B73" i="2"/>
  <c r="A73" i="2"/>
  <c r="B72" i="2"/>
  <c r="A72" i="2"/>
  <c r="B71" i="2"/>
  <c r="A71" i="2"/>
  <c r="B70" i="2"/>
  <c r="A70" i="2"/>
  <c r="B69" i="2"/>
  <c r="A69" i="2"/>
  <c r="B68" i="2"/>
  <c r="A68" i="2"/>
  <c r="B67" i="2"/>
  <c r="A67" i="2"/>
  <c r="B65" i="2"/>
  <c r="A65" i="2"/>
  <c r="B64" i="2"/>
  <c r="A64" i="2"/>
  <c r="B63" i="2"/>
  <c r="A63" i="2"/>
  <c r="C62" i="2"/>
  <c r="H62" i="2" s="1"/>
  <c r="B62" i="2"/>
  <c r="A62" i="2"/>
  <c r="B61" i="2"/>
  <c r="A61" i="2"/>
  <c r="B58" i="2"/>
  <c r="A58" i="2"/>
  <c r="B57" i="2"/>
  <c r="A57" i="2"/>
  <c r="B56" i="2"/>
  <c r="A56" i="2"/>
  <c r="B55" i="2"/>
  <c r="A55" i="2"/>
  <c r="B54" i="2"/>
  <c r="A54" i="2"/>
  <c r="B53" i="2"/>
  <c r="A53" i="2"/>
  <c r="B52" i="2"/>
  <c r="A52" i="2"/>
  <c r="B51" i="2"/>
  <c r="A51" i="2"/>
  <c r="B50" i="2"/>
  <c r="A50" i="2"/>
  <c r="B49" i="2"/>
  <c r="A49" i="2"/>
  <c r="B48" i="2"/>
  <c r="A48" i="2"/>
  <c r="B47" i="2"/>
  <c r="A47" i="2"/>
  <c r="B46" i="2"/>
  <c r="A46" i="2"/>
  <c r="B45" i="2"/>
  <c r="A45" i="2"/>
  <c r="B44" i="2"/>
  <c r="A44" i="2"/>
  <c r="B43" i="2"/>
  <c r="A43" i="2"/>
  <c r="B42" i="2"/>
  <c r="A42" i="2"/>
  <c r="B41" i="2"/>
  <c r="A41" i="2"/>
  <c r="B40" i="2"/>
  <c r="A40" i="2"/>
  <c r="B39" i="2"/>
  <c r="A39" i="2"/>
  <c r="B38" i="2"/>
  <c r="A38" i="2"/>
  <c r="B36" i="2"/>
  <c r="A36" i="2"/>
  <c r="B35" i="2"/>
  <c r="A35" i="2"/>
  <c r="B34" i="2"/>
  <c r="A34" i="2"/>
  <c r="C33" i="2"/>
  <c r="B33" i="2"/>
  <c r="A33" i="2"/>
  <c r="B32" i="2"/>
  <c r="A32" i="2"/>
  <c r="D5" i="2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A6" i="2"/>
  <c r="B6" i="2"/>
  <c r="A7" i="2"/>
  <c r="B7" i="2"/>
  <c r="A8" i="2"/>
  <c r="B8" i="2"/>
  <c r="A9" i="2"/>
  <c r="B9" i="2"/>
  <c r="A10" i="2"/>
  <c r="B10" i="2"/>
  <c r="A11" i="2"/>
  <c r="B11" i="2"/>
  <c r="A12" i="2"/>
  <c r="B12" i="2"/>
  <c r="A13" i="2"/>
  <c r="B13" i="2"/>
  <c r="A14" i="2"/>
  <c r="B14" i="2"/>
  <c r="A15" i="2"/>
  <c r="B15" i="2"/>
  <c r="A16" i="2"/>
  <c r="B16" i="2"/>
  <c r="A17" i="2"/>
  <c r="B17" i="2"/>
  <c r="A18" i="2"/>
  <c r="B18" i="2"/>
  <c r="A19" i="2"/>
  <c r="B19" i="2"/>
  <c r="A20" i="2"/>
  <c r="B20" i="2"/>
  <c r="A21" i="2"/>
  <c r="B21" i="2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B5" i="2"/>
  <c r="B4" i="2"/>
  <c r="A5" i="2"/>
  <c r="A4" i="2"/>
  <c r="C5" i="2"/>
  <c r="C6" i="2" l="1"/>
  <c r="H5" i="2"/>
  <c r="C34" i="2"/>
  <c r="H34" i="2" s="1"/>
  <c r="H33" i="2"/>
  <c r="C92" i="2"/>
  <c r="H91" i="2"/>
  <c r="C123" i="2"/>
  <c r="H122" i="2"/>
  <c r="H181" i="2"/>
  <c r="H207" i="2"/>
  <c r="H240" i="2"/>
  <c r="H239" i="2"/>
  <c r="H241" i="2"/>
  <c r="C242" i="2"/>
  <c r="H208" i="2"/>
  <c r="C209" i="2"/>
  <c r="C183" i="2"/>
  <c r="H182" i="2"/>
  <c r="H180" i="2"/>
  <c r="C63" i="2"/>
  <c r="C35" i="2" l="1"/>
  <c r="C36" i="2" s="1"/>
  <c r="C38" i="2" s="1"/>
  <c r="H38" i="2" s="1"/>
  <c r="C124" i="2"/>
  <c r="H123" i="2"/>
  <c r="C64" i="2"/>
  <c r="H63" i="2"/>
  <c r="C93" i="2"/>
  <c r="H92" i="2"/>
  <c r="C7" i="2"/>
  <c r="H6" i="2"/>
  <c r="C243" i="2"/>
  <c r="H242" i="2"/>
  <c r="C210" i="2"/>
  <c r="H209" i="2"/>
  <c r="C184" i="2"/>
  <c r="H183" i="2"/>
  <c r="H35" i="2" l="1"/>
  <c r="C94" i="2"/>
  <c r="H93" i="2"/>
  <c r="C65" i="2"/>
  <c r="H64" i="2"/>
  <c r="C125" i="2"/>
  <c r="H124" i="2"/>
  <c r="C8" i="2"/>
  <c r="H7" i="2"/>
  <c r="H36" i="2"/>
  <c r="C37" i="2"/>
  <c r="H37" i="2" s="1"/>
  <c r="C244" i="2"/>
  <c r="H243" i="2"/>
  <c r="C211" i="2"/>
  <c r="H210" i="2"/>
  <c r="C185" i="2"/>
  <c r="H184" i="2"/>
  <c r="C39" i="2"/>
  <c r="H39" i="2" s="1"/>
  <c r="C9" i="2" l="1"/>
  <c r="H8" i="2"/>
  <c r="C126" i="2"/>
  <c r="H125" i="2"/>
  <c r="C67" i="2"/>
  <c r="C66" i="2"/>
  <c r="H66" i="2" s="1"/>
  <c r="H65" i="2"/>
  <c r="H94" i="2"/>
  <c r="C95" i="2"/>
  <c r="H95" i="2" s="1"/>
  <c r="C96" i="2"/>
  <c r="C245" i="2"/>
  <c r="H244" i="2"/>
  <c r="H211" i="2"/>
  <c r="C212" i="2"/>
  <c r="C186" i="2"/>
  <c r="H185" i="2"/>
  <c r="C40" i="2"/>
  <c r="H40" i="2" s="1"/>
  <c r="C68" i="2" l="1"/>
  <c r="H67" i="2"/>
  <c r="H126" i="2"/>
  <c r="C127" i="2"/>
  <c r="C97" i="2"/>
  <c r="H96" i="2"/>
  <c r="C10" i="2"/>
  <c r="H9" i="2"/>
  <c r="C246" i="2"/>
  <c r="H245" i="2"/>
  <c r="C213" i="2"/>
  <c r="H212" i="2"/>
  <c r="C187" i="2"/>
  <c r="H186" i="2"/>
  <c r="C41" i="2"/>
  <c r="H41" i="2" s="1"/>
  <c r="C11" i="2" l="1"/>
  <c r="H10" i="2"/>
  <c r="H97" i="2"/>
  <c r="C98" i="2"/>
  <c r="C128" i="2"/>
  <c r="H127" i="2"/>
  <c r="H68" i="2"/>
  <c r="C69" i="2"/>
  <c r="H246" i="2"/>
  <c r="C247" i="2"/>
  <c r="C214" i="2"/>
  <c r="H213" i="2"/>
  <c r="C188" i="2"/>
  <c r="H187" i="2"/>
  <c r="C42" i="2"/>
  <c r="H42" i="2" s="1"/>
  <c r="C70" i="2" l="1"/>
  <c r="H69" i="2"/>
  <c r="H128" i="2"/>
  <c r="C129" i="2"/>
  <c r="H98" i="2"/>
  <c r="C99" i="2"/>
  <c r="C12" i="2"/>
  <c r="H11" i="2"/>
  <c r="C248" i="2"/>
  <c r="H247" i="2"/>
  <c r="H214" i="2"/>
  <c r="C215" i="2"/>
  <c r="C189" i="2"/>
  <c r="H188" i="2"/>
  <c r="C43" i="2"/>
  <c r="H43" i="2" s="1"/>
  <c r="C13" i="2" l="1"/>
  <c r="H12" i="2"/>
  <c r="H99" i="2"/>
  <c r="C100" i="2"/>
  <c r="H129" i="2"/>
  <c r="C130" i="2"/>
  <c r="C71" i="2"/>
  <c r="H70" i="2"/>
  <c r="C249" i="2"/>
  <c r="H248" i="2"/>
  <c r="C216" i="2"/>
  <c r="H215" i="2"/>
  <c r="C190" i="2"/>
  <c r="H189" i="2"/>
  <c r="C44" i="2"/>
  <c r="H44" i="2" s="1"/>
  <c r="H71" i="2" l="1"/>
  <c r="C72" i="2"/>
  <c r="H130" i="2"/>
  <c r="C131" i="2"/>
  <c r="H100" i="2"/>
  <c r="C101" i="2"/>
  <c r="C14" i="2"/>
  <c r="H13" i="2"/>
  <c r="C250" i="2"/>
  <c r="H249" i="2"/>
  <c r="H216" i="2"/>
  <c r="C217" i="2"/>
  <c r="C191" i="2"/>
  <c r="H190" i="2"/>
  <c r="C45" i="2"/>
  <c r="H45" i="2" s="1"/>
  <c r="C15" i="2" l="1"/>
  <c r="H14" i="2"/>
  <c r="H131" i="2"/>
  <c r="C132" i="2"/>
  <c r="H101" i="2"/>
  <c r="C102" i="2"/>
  <c r="C73" i="2"/>
  <c r="H72" i="2"/>
  <c r="C251" i="2"/>
  <c r="H250" i="2"/>
  <c r="C218" i="2"/>
  <c r="H217" i="2"/>
  <c r="C192" i="2"/>
  <c r="H191" i="2"/>
  <c r="C46" i="2"/>
  <c r="H46" i="2" s="1"/>
  <c r="H73" i="2" l="1"/>
  <c r="C74" i="2"/>
  <c r="H102" i="2"/>
  <c r="C103" i="2"/>
  <c r="C16" i="2"/>
  <c r="H15" i="2"/>
  <c r="H132" i="2"/>
  <c r="C133" i="2"/>
  <c r="C252" i="2"/>
  <c r="H251" i="2"/>
  <c r="C219" i="2"/>
  <c r="H218" i="2"/>
  <c r="C193" i="2"/>
  <c r="H192" i="2"/>
  <c r="C47" i="2"/>
  <c r="H47" i="2" s="1"/>
  <c r="C17" i="2" l="1"/>
  <c r="H16" i="2"/>
  <c r="H103" i="2"/>
  <c r="C104" i="2"/>
  <c r="H133" i="2"/>
  <c r="C134" i="2"/>
  <c r="H74" i="2"/>
  <c r="C75" i="2"/>
  <c r="C253" i="2"/>
  <c r="H252" i="2"/>
  <c r="H219" i="2"/>
  <c r="C220" i="2"/>
  <c r="C194" i="2"/>
  <c r="H193" i="2"/>
  <c r="C48" i="2"/>
  <c r="H48" i="2" s="1"/>
  <c r="H75" i="2" l="1"/>
  <c r="C76" i="2"/>
  <c r="H104" i="2"/>
  <c r="C105" i="2"/>
  <c r="H134" i="2"/>
  <c r="C135" i="2"/>
  <c r="C18" i="2"/>
  <c r="H17" i="2"/>
  <c r="C254" i="2"/>
  <c r="H253" i="2"/>
  <c r="C221" i="2"/>
  <c r="H220" i="2"/>
  <c r="C195" i="2"/>
  <c r="H194" i="2"/>
  <c r="C49" i="2"/>
  <c r="H49" i="2" s="1"/>
  <c r="C19" i="2" l="1"/>
  <c r="H18" i="2"/>
  <c r="H135" i="2"/>
  <c r="C136" i="2"/>
  <c r="H105" i="2"/>
  <c r="C106" i="2"/>
  <c r="H76" i="2"/>
  <c r="C77" i="2"/>
  <c r="H254" i="2"/>
  <c r="C255" i="2"/>
  <c r="C222" i="2"/>
  <c r="H221" i="2"/>
  <c r="C196" i="2"/>
  <c r="H195" i="2"/>
  <c r="C50" i="2"/>
  <c r="H50" i="2" s="1"/>
  <c r="H106" i="2" l="1"/>
  <c r="C107" i="2"/>
  <c r="H77" i="2"/>
  <c r="C78" i="2"/>
  <c r="H136" i="2"/>
  <c r="C137" i="2"/>
  <c r="C20" i="2"/>
  <c r="H19" i="2"/>
  <c r="C256" i="2"/>
  <c r="H255" i="2"/>
  <c r="H222" i="2"/>
  <c r="C223" i="2"/>
  <c r="C197" i="2"/>
  <c r="H196" i="2"/>
  <c r="C51" i="2"/>
  <c r="H51" i="2" s="1"/>
  <c r="C21" i="2" l="1"/>
  <c r="H20" i="2"/>
  <c r="H137" i="2"/>
  <c r="C138" i="2"/>
  <c r="H78" i="2"/>
  <c r="C79" i="2"/>
  <c r="H107" i="2"/>
  <c r="C108" i="2"/>
  <c r="C257" i="2"/>
  <c r="H257" i="2" s="1"/>
  <c r="H256" i="2"/>
  <c r="C224" i="2"/>
  <c r="H223" i="2"/>
  <c r="C198" i="2"/>
  <c r="H197" i="2"/>
  <c r="C52" i="2"/>
  <c r="H52" i="2" s="1"/>
  <c r="H79" i="2" l="1"/>
  <c r="C80" i="2"/>
  <c r="H138" i="2"/>
  <c r="C139" i="2"/>
  <c r="H108" i="2"/>
  <c r="C109" i="2"/>
  <c r="C22" i="2"/>
  <c r="H21" i="2"/>
  <c r="H224" i="2"/>
  <c r="C225" i="2"/>
  <c r="C199" i="2"/>
  <c r="H198" i="2"/>
  <c r="C53" i="2"/>
  <c r="H53" i="2" s="1"/>
  <c r="H139" i="2" l="1"/>
  <c r="C140" i="2"/>
  <c r="C23" i="2"/>
  <c r="H22" i="2"/>
  <c r="H109" i="2"/>
  <c r="C110" i="2"/>
  <c r="H80" i="2"/>
  <c r="C81" i="2"/>
  <c r="C226" i="2"/>
  <c r="H225" i="2"/>
  <c r="C200" i="2"/>
  <c r="H199" i="2"/>
  <c r="C54" i="2"/>
  <c r="H54" i="2" s="1"/>
  <c r="H110" i="2" l="1"/>
  <c r="C111" i="2"/>
  <c r="H81" i="2"/>
  <c r="C82" i="2"/>
  <c r="C24" i="2"/>
  <c r="H23" i="2"/>
  <c r="H140" i="2"/>
  <c r="C141" i="2"/>
  <c r="C227" i="2"/>
  <c r="H226" i="2"/>
  <c r="H200" i="2"/>
  <c r="C201" i="2"/>
  <c r="H201" i="2" s="1"/>
  <c r="C55" i="2"/>
  <c r="H55" i="2" s="1"/>
  <c r="C25" i="2" l="1"/>
  <c r="H24" i="2"/>
  <c r="H82" i="2"/>
  <c r="C83" i="2"/>
  <c r="H141" i="2"/>
  <c r="C142" i="2"/>
  <c r="H111" i="2"/>
  <c r="C112" i="2"/>
  <c r="H227" i="2"/>
  <c r="C228" i="2"/>
  <c r="C56" i="2"/>
  <c r="H56" i="2" s="1"/>
  <c r="H112" i="2" l="1"/>
  <c r="C113" i="2"/>
  <c r="H83" i="2"/>
  <c r="C84" i="2"/>
  <c r="H142" i="2"/>
  <c r="C143" i="2"/>
  <c r="C26" i="2"/>
  <c r="H25" i="2"/>
  <c r="C229" i="2"/>
  <c r="H229" i="2" s="1"/>
  <c r="H228" i="2"/>
  <c r="C57" i="2"/>
  <c r="H57" i="2" s="1"/>
  <c r="C27" i="2" l="1"/>
  <c r="H26" i="2"/>
  <c r="H143" i="2"/>
  <c r="C144" i="2"/>
  <c r="H84" i="2"/>
  <c r="C85" i="2"/>
  <c r="H113" i="2"/>
  <c r="C114" i="2"/>
  <c r="C58" i="2"/>
  <c r="H58" i="2" s="1"/>
  <c r="H114" i="2" l="1"/>
  <c r="C115" i="2"/>
  <c r="H85" i="2"/>
  <c r="C86" i="2"/>
  <c r="H144" i="2"/>
  <c r="C145" i="2"/>
  <c r="H145" i="2" s="1"/>
  <c r="C28" i="2"/>
  <c r="H27" i="2"/>
  <c r="C29" i="2" l="1"/>
  <c r="H29" i="2" s="1"/>
  <c r="H28" i="2"/>
  <c r="H86" i="2"/>
  <c r="C87" i="2"/>
  <c r="H87" i="2" s="1"/>
  <c r="H115" i="2"/>
  <c r="C116" i="2"/>
  <c r="H116" i="2" s="1"/>
</calcChain>
</file>

<file path=xl/sharedStrings.xml><?xml version="1.0" encoding="utf-8"?>
<sst xmlns="http://schemas.openxmlformats.org/spreadsheetml/2006/main" count="458" uniqueCount="48">
  <si>
    <t>K_ESTATUS_CLIENTE</t>
  </si>
  <si>
    <t>FO_ADMINISTRADOR</t>
  </si>
  <si>
    <t>FO_ALMACEN_SITIO</t>
  </si>
  <si>
    <t>FO_APLICAR_PAGO_CLIENTE</t>
  </si>
  <si>
    <t>FO_BITACORA_COMISION</t>
  </si>
  <si>
    <t>FO_BITACORA_DESCONEXION_RECONEXION</t>
  </si>
  <si>
    <t>FO_CARGO</t>
  </si>
  <si>
    <t>FO_CLIENTE</t>
  </si>
  <si>
    <t>FO_CLIENTE_DESCONEXION_RECONEXION</t>
  </si>
  <si>
    <t>FO_CONDICION_COMERCIAL</t>
  </si>
  <si>
    <t>FO_GENERA_RECIBO_PDF</t>
  </si>
  <si>
    <t>FO_GENERAR_COMISION</t>
  </si>
  <si>
    <t>FO_HISTORIA_ALMACEN</t>
  </si>
  <si>
    <t>FO_LECTURA</t>
  </si>
  <si>
    <t>FO_MOVIMIENTO_ALMACEN</t>
  </si>
  <si>
    <t>FO_PAGO</t>
  </si>
  <si>
    <t>FO_PAGO_RECIBO</t>
  </si>
  <si>
    <t>FO_PRECIO</t>
  </si>
  <si>
    <t>FO_PRODUCTO</t>
  </si>
  <si>
    <t>FO_RECIBO</t>
  </si>
  <si>
    <t>FO_RENGLON_RECIBO</t>
  </si>
  <si>
    <t>FO_SITIO</t>
  </si>
  <si>
    <t>FO_SITIO_ADMINISTRADOR</t>
  </si>
  <si>
    <t>FO_SITIO_CONTROL_RECIBO</t>
  </si>
  <si>
    <t>FO_TASA_IMPUESTO</t>
  </si>
  <si>
    <t>FO_NOMBRE</t>
  </si>
  <si>
    <t>DEBUG</t>
  </si>
  <si>
    <t>SISTEMA</t>
  </si>
  <si>
    <t>USUARIO</t>
  </si>
  <si>
    <t>VP_K_SYS_PERFIL_ROL</t>
  </si>
  <si>
    <t>CARGA INICIAL</t>
  </si>
  <si>
    <t xml:space="preserve"> -- =========================================== CARGA INICIAL X USUARIO &gt;&gt; #99/FEG &gt;&gt; FRANCISCO ESTEBAN</t>
  </si>
  <si>
    <t>GO</t>
  </si>
  <si>
    <t>GRUPO</t>
  </si>
  <si>
    <t>SYS</t>
  </si>
  <si>
    <t>UNIGAS</t>
  </si>
  <si>
    <t xml:space="preserve"> -- =========================================== CARGA INICIAL X USUARIO &gt;&gt; #1003/AROM &gt;&gt; ALEJANDRA ROMERO</t>
  </si>
  <si>
    <t xml:space="preserve"> -- =========================================== CARGA INICIAL X USUARIO &gt;&gt; #1002/TOQI &gt;&gt; MIGUEL TOQUICA</t>
  </si>
  <si>
    <t xml:space="preserve"> -- =========================================== CARGA INICIAL X USUARIO &gt;&gt; #1001/VIGO &gt;&gt; VICTOR GONZALEZ</t>
  </si>
  <si>
    <t>PROD</t>
  </si>
  <si>
    <t>X</t>
  </si>
  <si>
    <t xml:space="preserve"> -- =========================================== CARGA INICIAL X USUARIO &gt;&gt; #177/JPP &gt;&gt; JAVIER PEDROZA</t>
  </si>
  <si>
    <t xml:space="preserve"> -- =========================================== CARGA INICIAL X USUARIO &gt;&gt; #169/FEG &gt;&gt; HECTOR GONZALEZ</t>
  </si>
  <si>
    <t xml:space="preserve"> -- =========================================== CARGA INICIAL X USUARIO &gt;&gt; #111/CZG &gt;&gt; CYNTHIA ZAMARRON</t>
  </si>
  <si>
    <t>FO_GENERA_ESTADO_CUENTA_PDF</t>
  </si>
  <si>
    <t>K_SYS_PERFIL_ROL = #0 NINGUNO | #1 FULL CONTROL | #2 CORDINACION | #3 OPERACION | #4 CONSULTA | #5 ESPECIAL | #6 GRID/EDIT</t>
  </si>
  <si>
    <t xml:space="preserve"> -- =========================================== CARGA INICIAL X USUARIO &gt;&gt; #1004/AALG &gt;&gt; ALMA ABIGAIL LOPEZ GALLEGOS</t>
  </si>
  <si>
    <t>FO_SITIO_CONTROL_ANUNCIO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</si>
</sst>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b/>
      <i/>
      <sz val="11"/>
      <color rgb="FFC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  <xf numFmtId="0" fontId="2" fillId="3" borderId="0" xfId="0" applyFont="1" applyFill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7" fillId="4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</cellXfs>
  <cellStyles count="3">
    <cellStyle name="Hipervínculo 2" xfId="2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58"/>
  <sheetViews>
    <sheetView tabSelected="1" zoomScale="90" zoomScaleNormal="90" workbookViewId="0">
      <pane xSplit="1" ySplit="2" topLeftCell="B3" activePane="bottomRight" state="frozen"/>
      <selection pane="topRight" activeCell="D1" sqref="D1"/>
      <selection pane="bottomLeft" activeCell="A3" sqref="A3"/>
      <selection pane="bottomRight" activeCell="E41" sqref="E41"/>
    </sheetView>
  </sheetViews>
  <sheetFormatPr baseColWidth="10" defaultRowHeight="14.4" x14ac:dyDescent="0.3"/>
  <cols>
    <col min="1" max="1" width="8.44140625" style="5" customWidth="1"/>
    <col min="2" max="3" width="8.44140625" style="11" customWidth="1"/>
    <col min="4" max="4" width="11.44140625" style="4"/>
    <col min="5" max="5" width="31" style="6" customWidth="1"/>
    <col min="6" max="7" width="8.33203125" style="11" customWidth="1"/>
    <col min="8" max="8" width="102.109375" style="2" customWidth="1"/>
    <col min="9" max="9" width="11.44140625" customWidth="1"/>
  </cols>
  <sheetData>
    <row r="1" spans="1:8" x14ac:dyDescent="0.3">
      <c r="A1" s="12">
        <v>0</v>
      </c>
      <c r="B1" s="12">
        <v>2006</v>
      </c>
      <c r="D1" s="13" t="s">
        <v>45</v>
      </c>
    </row>
    <row r="2" spans="1:8" x14ac:dyDescent="0.3">
      <c r="A2" s="20" t="s">
        <v>26</v>
      </c>
      <c r="B2" s="20" t="s">
        <v>27</v>
      </c>
      <c r="C2" s="20" t="s">
        <v>28</v>
      </c>
      <c r="D2" s="20" t="s">
        <v>29</v>
      </c>
      <c r="E2" s="20" t="s">
        <v>0</v>
      </c>
      <c r="F2" s="20" t="s">
        <v>39</v>
      </c>
      <c r="G2" s="20" t="s">
        <v>33</v>
      </c>
      <c r="H2" s="20" t="s">
        <v>30</v>
      </c>
    </row>
    <row r="3" spans="1:8" s="9" customFormat="1" hidden="1" x14ac:dyDescent="0.3">
      <c r="A3" s="14"/>
      <c r="B3" s="15"/>
      <c r="C3" s="15"/>
      <c r="D3" s="15"/>
      <c r="E3" s="16"/>
      <c r="F3" s="15"/>
      <c r="G3" s="15"/>
      <c r="H3" s="17" t="s">
        <v>31</v>
      </c>
    </row>
    <row r="4" spans="1:8" hidden="1" x14ac:dyDescent="0.3">
      <c r="A4" s="8">
        <f>$A$1</f>
        <v>0</v>
      </c>
      <c r="B4" s="8">
        <f>$B$1</f>
        <v>2006</v>
      </c>
      <c r="C4" s="12">
        <v>99</v>
      </c>
      <c r="D4" s="1">
        <v>0</v>
      </c>
      <c r="E4" s="7" t="s">
        <v>25</v>
      </c>
      <c r="F4" s="10">
        <v>1</v>
      </c>
      <c r="G4" s="10" t="s">
        <v>34</v>
      </c>
      <c r="H4" s="3" t="str">
        <f>CONCATENATE("EXECUTE [dbo].[PG_CI_SYS2_ACCESO_USR_FRM_ACCIONES] ",A4,", ",B4,",    ",C4,", ",D4,", '",E4,"';" )</f>
        <v>EXECUTE [dbo].[PG_CI_SYS2_ACCESO_USR_FRM_ACCIONES] 0, 2006,    99, 0, 'FO_NOMBRE';</v>
      </c>
    </row>
    <row r="5" spans="1:8" hidden="1" x14ac:dyDescent="0.3">
      <c r="A5" s="8">
        <f t="shared" ref="A5:A29" si="0">$A$1</f>
        <v>0</v>
      </c>
      <c r="B5" s="8">
        <f>$B$1</f>
        <v>2006</v>
      </c>
      <c r="C5" s="8">
        <f>C4</f>
        <v>99</v>
      </c>
      <c r="D5" s="8">
        <f>D4</f>
        <v>0</v>
      </c>
      <c r="E5" s="7" t="s">
        <v>18</v>
      </c>
      <c r="F5" s="10">
        <v>1</v>
      </c>
      <c r="G5" s="10" t="s">
        <v>34</v>
      </c>
      <c r="H5" s="3" t="str">
        <f t="shared" ref="H5:H29" si="1">CONCATENATE("EXECUTE [dbo].[PG_CI_SYS2_ACCESO_USR_FRM_ACCIONES] ",A5,", ",B5,",    ",C5,", ",D5,", '",E5,"';" )</f>
        <v>EXECUTE [dbo].[PG_CI_SYS2_ACCESO_USR_FRM_ACCIONES] 0, 2006,    99, 0, 'FO_PRODUCTO';</v>
      </c>
    </row>
    <row r="6" spans="1:8" hidden="1" x14ac:dyDescent="0.3">
      <c r="A6" s="8">
        <f t="shared" si="0"/>
        <v>0</v>
      </c>
      <c r="B6" s="8">
        <f t="shared" ref="B6:B29" si="2">$B$1</f>
        <v>2006</v>
      </c>
      <c r="C6" s="8">
        <f t="shared" ref="C6:C29" si="3">C5</f>
        <v>99</v>
      </c>
      <c r="D6" s="8">
        <f t="shared" ref="D6:D29" si="4">D5</f>
        <v>0</v>
      </c>
      <c r="E6" s="7" t="s">
        <v>24</v>
      </c>
      <c r="F6" s="10">
        <v>1</v>
      </c>
      <c r="G6" s="10" t="s">
        <v>34</v>
      </c>
      <c r="H6" s="3" t="str">
        <f t="shared" si="1"/>
        <v>EXECUTE [dbo].[PG_CI_SYS2_ACCESO_USR_FRM_ACCIONES] 0, 2006,    99, 0, 'FO_TASA_IMPUESTO';</v>
      </c>
    </row>
    <row r="7" spans="1:8" hidden="1" x14ac:dyDescent="0.3">
      <c r="A7" s="8">
        <f t="shared" si="0"/>
        <v>0</v>
      </c>
      <c r="B7" s="8">
        <f t="shared" si="2"/>
        <v>2006</v>
      </c>
      <c r="C7" s="8">
        <f t="shared" si="3"/>
        <v>99</v>
      </c>
      <c r="D7" s="8">
        <f t="shared" si="4"/>
        <v>0</v>
      </c>
      <c r="E7" s="7" t="s">
        <v>17</v>
      </c>
      <c r="F7" s="10">
        <v>1</v>
      </c>
      <c r="G7" s="10" t="s">
        <v>34</v>
      </c>
      <c r="H7" s="3" t="str">
        <f t="shared" si="1"/>
        <v>EXECUTE [dbo].[PG_CI_SYS2_ACCESO_USR_FRM_ACCIONES] 0, 2006,    99, 0, 'FO_PRECIO';</v>
      </c>
    </row>
    <row r="8" spans="1:8" hidden="1" x14ac:dyDescent="0.3">
      <c r="A8" s="8">
        <f t="shared" si="0"/>
        <v>0</v>
      </c>
      <c r="B8" s="8">
        <f t="shared" si="2"/>
        <v>2006</v>
      </c>
      <c r="C8" s="8">
        <f t="shared" si="3"/>
        <v>99</v>
      </c>
      <c r="D8" s="8">
        <f t="shared" si="4"/>
        <v>0</v>
      </c>
      <c r="E8" s="7" t="s">
        <v>21</v>
      </c>
      <c r="F8" s="10">
        <v>1</v>
      </c>
      <c r="G8" s="10" t="s">
        <v>34</v>
      </c>
      <c r="H8" s="3" t="str">
        <f t="shared" si="1"/>
        <v>EXECUTE [dbo].[PG_CI_SYS2_ACCESO_USR_FRM_ACCIONES] 0, 2006,    99, 0, 'FO_SITIO';</v>
      </c>
    </row>
    <row r="9" spans="1:8" hidden="1" x14ac:dyDescent="0.3">
      <c r="A9" s="8">
        <f t="shared" si="0"/>
        <v>0</v>
      </c>
      <c r="B9" s="8">
        <f t="shared" si="2"/>
        <v>2006</v>
      </c>
      <c r="C9" s="8">
        <f t="shared" si="3"/>
        <v>99</v>
      </c>
      <c r="D9" s="8">
        <f t="shared" si="4"/>
        <v>0</v>
      </c>
      <c r="E9" s="7" t="s">
        <v>7</v>
      </c>
      <c r="F9" s="10">
        <v>1</v>
      </c>
      <c r="G9" s="10" t="s">
        <v>34</v>
      </c>
      <c r="H9" s="3" t="str">
        <f t="shared" si="1"/>
        <v>EXECUTE [dbo].[PG_CI_SYS2_ACCESO_USR_FRM_ACCIONES] 0, 2006,    99, 0, 'FO_CLIENTE';</v>
      </c>
    </row>
    <row r="10" spans="1:8" hidden="1" x14ac:dyDescent="0.3">
      <c r="A10" s="8">
        <f t="shared" si="0"/>
        <v>0</v>
      </c>
      <c r="B10" s="8">
        <f t="shared" si="2"/>
        <v>2006</v>
      </c>
      <c r="C10" s="8">
        <f t="shared" si="3"/>
        <v>99</v>
      </c>
      <c r="D10" s="8">
        <f t="shared" si="4"/>
        <v>0</v>
      </c>
      <c r="E10" s="7" t="s">
        <v>6</v>
      </c>
      <c r="F10" s="10">
        <v>1</v>
      </c>
      <c r="G10" s="10" t="s">
        <v>34</v>
      </c>
      <c r="H10" s="3" t="str">
        <f t="shared" si="1"/>
        <v>EXECUTE [dbo].[PG_CI_SYS2_ACCESO_USR_FRM_ACCIONES] 0, 2006,    99, 0, 'FO_CARGO';</v>
      </c>
    </row>
    <row r="11" spans="1:8" hidden="1" x14ac:dyDescent="0.3">
      <c r="A11" s="8">
        <f t="shared" si="0"/>
        <v>0</v>
      </c>
      <c r="B11" s="8">
        <f t="shared" si="2"/>
        <v>2006</v>
      </c>
      <c r="C11" s="8">
        <f t="shared" si="3"/>
        <v>99</v>
      </c>
      <c r="D11" s="8">
        <f t="shared" si="4"/>
        <v>0</v>
      </c>
      <c r="E11" s="7" t="s">
        <v>9</v>
      </c>
      <c r="F11" s="10">
        <v>1</v>
      </c>
      <c r="G11" s="10" t="s">
        <v>34</v>
      </c>
      <c r="H11" s="3" t="str">
        <f t="shared" si="1"/>
        <v>EXECUTE [dbo].[PG_CI_SYS2_ACCESO_USR_FRM_ACCIONES] 0, 2006,    99, 0, 'FO_CONDICION_COMERCIAL';</v>
      </c>
    </row>
    <row r="12" spans="1:8" hidden="1" x14ac:dyDescent="0.3">
      <c r="A12" s="8">
        <f t="shared" si="0"/>
        <v>0</v>
      </c>
      <c r="B12" s="8">
        <f t="shared" si="2"/>
        <v>2006</v>
      </c>
      <c r="C12" s="8">
        <f t="shared" si="3"/>
        <v>99</v>
      </c>
      <c r="D12" s="8">
        <f t="shared" si="4"/>
        <v>0</v>
      </c>
      <c r="E12" s="7" t="s">
        <v>13</v>
      </c>
      <c r="F12" s="10">
        <v>1</v>
      </c>
      <c r="G12" s="10" t="s">
        <v>34</v>
      </c>
      <c r="H12" s="3" t="str">
        <f t="shared" si="1"/>
        <v>EXECUTE [dbo].[PG_CI_SYS2_ACCESO_USR_FRM_ACCIONES] 0, 2006,    99, 0, 'FO_LECTURA';</v>
      </c>
    </row>
    <row r="13" spans="1:8" hidden="1" x14ac:dyDescent="0.3">
      <c r="A13" s="8">
        <f t="shared" si="0"/>
        <v>0</v>
      </c>
      <c r="B13" s="8">
        <f t="shared" si="2"/>
        <v>2006</v>
      </c>
      <c r="C13" s="8">
        <f t="shared" si="3"/>
        <v>99</v>
      </c>
      <c r="D13" s="8">
        <f t="shared" si="4"/>
        <v>0</v>
      </c>
      <c r="E13" s="7" t="s">
        <v>23</v>
      </c>
      <c r="F13" s="10">
        <v>1</v>
      </c>
      <c r="G13" s="10" t="s">
        <v>34</v>
      </c>
      <c r="H13" s="3" t="str">
        <f t="shared" si="1"/>
        <v>EXECUTE [dbo].[PG_CI_SYS2_ACCESO_USR_FRM_ACCIONES] 0, 2006,    99, 0, 'FO_SITIO_CONTROL_RECIBO';</v>
      </c>
    </row>
    <row r="14" spans="1:8" hidden="1" x14ac:dyDescent="0.3">
      <c r="A14" s="8">
        <f t="shared" si="0"/>
        <v>0</v>
      </c>
      <c r="B14" s="8">
        <f t="shared" si="2"/>
        <v>2006</v>
      </c>
      <c r="C14" s="8">
        <f t="shared" si="3"/>
        <v>99</v>
      </c>
      <c r="D14" s="8">
        <f t="shared" si="4"/>
        <v>0</v>
      </c>
      <c r="E14" s="7" t="s">
        <v>20</v>
      </c>
      <c r="F14" s="10">
        <v>1</v>
      </c>
      <c r="G14" s="10" t="s">
        <v>34</v>
      </c>
      <c r="H14" s="3" t="str">
        <f t="shared" si="1"/>
        <v>EXECUTE [dbo].[PG_CI_SYS2_ACCESO_USR_FRM_ACCIONES] 0, 2006,    99, 0, 'FO_RENGLON_RECIBO';</v>
      </c>
    </row>
    <row r="15" spans="1:8" hidden="1" x14ac:dyDescent="0.3">
      <c r="A15" s="8">
        <f t="shared" si="0"/>
        <v>0</v>
      </c>
      <c r="B15" s="8">
        <f t="shared" si="2"/>
        <v>2006</v>
      </c>
      <c r="C15" s="8">
        <f t="shared" si="3"/>
        <v>99</v>
      </c>
      <c r="D15" s="8">
        <f t="shared" si="4"/>
        <v>0</v>
      </c>
      <c r="E15" s="7" t="s">
        <v>19</v>
      </c>
      <c r="F15" s="10">
        <v>1</v>
      </c>
      <c r="G15" s="10" t="s">
        <v>34</v>
      </c>
      <c r="H15" s="3" t="str">
        <f t="shared" si="1"/>
        <v>EXECUTE [dbo].[PG_CI_SYS2_ACCESO_USR_FRM_ACCIONES] 0, 2006,    99, 0, 'FO_RECIBO';</v>
      </c>
    </row>
    <row r="16" spans="1:8" hidden="1" x14ac:dyDescent="0.3">
      <c r="A16" s="8">
        <f t="shared" si="0"/>
        <v>0</v>
      </c>
      <c r="B16" s="8">
        <f t="shared" si="2"/>
        <v>2006</v>
      </c>
      <c r="C16" s="8">
        <f t="shared" si="3"/>
        <v>99</v>
      </c>
      <c r="D16" s="8">
        <f t="shared" si="4"/>
        <v>0</v>
      </c>
      <c r="E16" s="7" t="s">
        <v>10</v>
      </c>
      <c r="F16" s="10">
        <v>1</v>
      </c>
      <c r="G16" s="10" t="s">
        <v>34</v>
      </c>
      <c r="H16" s="3" t="str">
        <f t="shared" si="1"/>
        <v>EXECUTE [dbo].[PG_CI_SYS2_ACCESO_USR_FRM_ACCIONES] 0, 2006,    99, 0, 'FO_GENERA_RECIBO_PDF';</v>
      </c>
    </row>
    <row r="17" spans="1:8" hidden="1" x14ac:dyDescent="0.3">
      <c r="A17" s="8">
        <f t="shared" si="0"/>
        <v>0</v>
      </c>
      <c r="B17" s="8">
        <f t="shared" si="2"/>
        <v>2006</v>
      </c>
      <c r="C17" s="8">
        <f t="shared" si="3"/>
        <v>99</v>
      </c>
      <c r="D17" s="8">
        <f t="shared" si="4"/>
        <v>0</v>
      </c>
      <c r="E17" s="7" t="s">
        <v>44</v>
      </c>
      <c r="F17" s="10">
        <v>1</v>
      </c>
      <c r="G17" s="10" t="s">
        <v>34</v>
      </c>
      <c r="H17" s="3" t="str">
        <f t="shared" si="1"/>
        <v>EXECUTE [dbo].[PG_CI_SYS2_ACCESO_USR_FRM_ACCIONES] 0, 2006,    99, 0, 'FO_GENERA_ESTADO_CUENTA_PDF';</v>
      </c>
    </row>
    <row r="18" spans="1:8" hidden="1" x14ac:dyDescent="0.3">
      <c r="A18" s="8">
        <f t="shared" si="0"/>
        <v>0</v>
      </c>
      <c r="B18" s="8">
        <f t="shared" si="2"/>
        <v>2006</v>
      </c>
      <c r="C18" s="8">
        <f t="shared" si="3"/>
        <v>99</v>
      </c>
      <c r="D18" s="8">
        <f t="shared" si="4"/>
        <v>0</v>
      </c>
      <c r="E18" s="7" t="s">
        <v>15</v>
      </c>
      <c r="F18" s="10">
        <v>1</v>
      </c>
      <c r="G18" s="10" t="s">
        <v>34</v>
      </c>
      <c r="H18" s="3" t="str">
        <f t="shared" si="1"/>
        <v>EXECUTE [dbo].[PG_CI_SYS2_ACCESO_USR_FRM_ACCIONES] 0, 2006,    99, 0, 'FO_PAGO';</v>
      </c>
    </row>
    <row r="19" spans="1:8" hidden="1" x14ac:dyDescent="0.3">
      <c r="A19" s="8">
        <f t="shared" si="0"/>
        <v>0</v>
      </c>
      <c r="B19" s="8">
        <f t="shared" si="2"/>
        <v>2006</v>
      </c>
      <c r="C19" s="8">
        <f t="shared" si="3"/>
        <v>99</v>
      </c>
      <c r="D19" s="8">
        <f t="shared" si="4"/>
        <v>0</v>
      </c>
      <c r="E19" s="7" t="s">
        <v>3</v>
      </c>
      <c r="F19" s="10">
        <v>1</v>
      </c>
      <c r="G19" s="10" t="s">
        <v>34</v>
      </c>
      <c r="H19" s="3" t="str">
        <f t="shared" si="1"/>
        <v>EXECUTE [dbo].[PG_CI_SYS2_ACCESO_USR_FRM_ACCIONES] 0, 2006,    99, 0, 'FO_APLICAR_PAGO_CLIENTE';</v>
      </c>
    </row>
    <row r="20" spans="1:8" hidden="1" x14ac:dyDescent="0.3">
      <c r="A20" s="8">
        <f t="shared" si="0"/>
        <v>0</v>
      </c>
      <c r="B20" s="8">
        <f t="shared" si="2"/>
        <v>2006</v>
      </c>
      <c r="C20" s="8">
        <f t="shared" si="3"/>
        <v>99</v>
      </c>
      <c r="D20" s="8">
        <f t="shared" si="4"/>
        <v>0</v>
      </c>
      <c r="E20" s="7" t="s">
        <v>16</v>
      </c>
      <c r="F20" s="10">
        <v>1</v>
      </c>
      <c r="G20" s="10" t="s">
        <v>34</v>
      </c>
      <c r="H20" s="3" t="str">
        <f t="shared" si="1"/>
        <v>EXECUTE [dbo].[PG_CI_SYS2_ACCESO_USR_FRM_ACCIONES] 0, 2006,    99, 0, 'FO_PAGO_RECIBO';</v>
      </c>
    </row>
    <row r="21" spans="1:8" hidden="1" x14ac:dyDescent="0.3">
      <c r="A21" s="8">
        <f t="shared" si="0"/>
        <v>0</v>
      </c>
      <c r="B21" s="8">
        <f t="shared" si="2"/>
        <v>2006</v>
      </c>
      <c r="C21" s="8">
        <f t="shared" si="3"/>
        <v>99</v>
      </c>
      <c r="D21" s="8">
        <f t="shared" si="4"/>
        <v>0</v>
      </c>
      <c r="E21" s="7" t="s">
        <v>8</v>
      </c>
      <c r="F21" s="10">
        <v>1</v>
      </c>
      <c r="G21" s="10" t="s">
        <v>34</v>
      </c>
      <c r="H21" s="3" t="str">
        <f t="shared" si="1"/>
        <v>EXECUTE [dbo].[PG_CI_SYS2_ACCESO_USR_FRM_ACCIONES] 0, 2006,    99, 0, 'FO_CLIENTE_DESCONEXION_RECONEXION';</v>
      </c>
    </row>
    <row r="22" spans="1:8" hidden="1" x14ac:dyDescent="0.3">
      <c r="A22" s="8">
        <f t="shared" si="0"/>
        <v>0</v>
      </c>
      <c r="B22" s="8">
        <f t="shared" si="2"/>
        <v>2006</v>
      </c>
      <c r="C22" s="8">
        <f t="shared" si="3"/>
        <v>99</v>
      </c>
      <c r="D22" s="8">
        <f t="shared" si="4"/>
        <v>0</v>
      </c>
      <c r="E22" s="7" t="s">
        <v>5</v>
      </c>
      <c r="F22" s="10">
        <v>1</v>
      </c>
      <c r="G22" s="10" t="s">
        <v>34</v>
      </c>
      <c r="H22" s="3" t="str">
        <f t="shared" si="1"/>
        <v>EXECUTE [dbo].[PG_CI_SYS2_ACCESO_USR_FRM_ACCIONES] 0, 2006,    99, 0, 'FO_BITACORA_DESCONEXION_RECONEXION';</v>
      </c>
    </row>
    <row r="23" spans="1:8" hidden="1" x14ac:dyDescent="0.3">
      <c r="A23" s="8">
        <f t="shared" si="0"/>
        <v>0</v>
      </c>
      <c r="B23" s="8">
        <f t="shared" si="2"/>
        <v>2006</v>
      </c>
      <c r="C23" s="8">
        <f t="shared" si="3"/>
        <v>99</v>
      </c>
      <c r="D23" s="8">
        <f t="shared" si="4"/>
        <v>0</v>
      </c>
      <c r="E23" s="7" t="s">
        <v>2</v>
      </c>
      <c r="F23" s="10">
        <v>1</v>
      </c>
      <c r="G23" s="10" t="s">
        <v>34</v>
      </c>
      <c r="H23" s="3" t="str">
        <f t="shared" si="1"/>
        <v>EXECUTE [dbo].[PG_CI_SYS2_ACCESO_USR_FRM_ACCIONES] 0, 2006,    99, 0, 'FO_ALMACEN_SITIO';</v>
      </c>
    </row>
    <row r="24" spans="1:8" hidden="1" x14ac:dyDescent="0.3">
      <c r="A24" s="8">
        <f t="shared" si="0"/>
        <v>0</v>
      </c>
      <c r="B24" s="8">
        <f t="shared" si="2"/>
        <v>2006</v>
      </c>
      <c r="C24" s="8">
        <f t="shared" si="3"/>
        <v>99</v>
      </c>
      <c r="D24" s="8">
        <f t="shared" si="4"/>
        <v>0</v>
      </c>
      <c r="E24" s="7" t="s">
        <v>14</v>
      </c>
      <c r="F24" s="10">
        <v>1</v>
      </c>
      <c r="G24" s="10" t="s">
        <v>34</v>
      </c>
      <c r="H24" s="3" t="str">
        <f t="shared" si="1"/>
        <v>EXECUTE [dbo].[PG_CI_SYS2_ACCESO_USR_FRM_ACCIONES] 0, 2006,    99, 0, 'FO_MOVIMIENTO_ALMACEN';</v>
      </c>
    </row>
    <row r="25" spans="1:8" hidden="1" x14ac:dyDescent="0.3">
      <c r="A25" s="8">
        <f t="shared" si="0"/>
        <v>0</v>
      </c>
      <c r="B25" s="8">
        <f t="shared" si="2"/>
        <v>2006</v>
      </c>
      <c r="C25" s="8">
        <f t="shared" si="3"/>
        <v>99</v>
      </c>
      <c r="D25" s="8">
        <f t="shared" si="4"/>
        <v>0</v>
      </c>
      <c r="E25" s="7" t="s">
        <v>12</v>
      </c>
      <c r="F25" s="10">
        <v>1</v>
      </c>
      <c r="G25" s="10" t="s">
        <v>34</v>
      </c>
      <c r="H25" s="3" t="str">
        <f t="shared" si="1"/>
        <v>EXECUTE [dbo].[PG_CI_SYS2_ACCESO_USR_FRM_ACCIONES] 0, 2006,    99, 0, 'FO_HISTORIA_ALMACEN';</v>
      </c>
    </row>
    <row r="26" spans="1:8" hidden="1" x14ac:dyDescent="0.3">
      <c r="A26" s="8">
        <f t="shared" si="0"/>
        <v>0</v>
      </c>
      <c r="B26" s="8">
        <f t="shared" si="2"/>
        <v>2006</v>
      </c>
      <c r="C26" s="8">
        <f t="shared" si="3"/>
        <v>99</v>
      </c>
      <c r="D26" s="8">
        <f t="shared" si="4"/>
        <v>0</v>
      </c>
      <c r="E26" s="7" t="s">
        <v>1</v>
      </c>
      <c r="F26" s="10">
        <v>1</v>
      </c>
      <c r="G26" s="10" t="s">
        <v>34</v>
      </c>
      <c r="H26" s="3" t="str">
        <f t="shared" si="1"/>
        <v>EXECUTE [dbo].[PG_CI_SYS2_ACCESO_USR_FRM_ACCIONES] 0, 2006,    99, 0, 'FO_ADMINISTRADOR';</v>
      </c>
    </row>
    <row r="27" spans="1:8" hidden="1" x14ac:dyDescent="0.3">
      <c r="A27" s="8">
        <f t="shared" si="0"/>
        <v>0</v>
      </c>
      <c r="B27" s="8">
        <f t="shared" si="2"/>
        <v>2006</v>
      </c>
      <c r="C27" s="8">
        <f t="shared" si="3"/>
        <v>99</v>
      </c>
      <c r="D27" s="8">
        <f t="shared" si="4"/>
        <v>0</v>
      </c>
      <c r="E27" s="7" t="s">
        <v>22</v>
      </c>
      <c r="F27" s="10">
        <v>1</v>
      </c>
      <c r="G27" s="10" t="s">
        <v>34</v>
      </c>
      <c r="H27" s="3" t="str">
        <f t="shared" si="1"/>
        <v>EXECUTE [dbo].[PG_CI_SYS2_ACCESO_USR_FRM_ACCIONES] 0, 2006,    99, 0, 'FO_SITIO_ADMINISTRADOR';</v>
      </c>
    </row>
    <row r="28" spans="1:8" hidden="1" x14ac:dyDescent="0.3">
      <c r="A28" s="8">
        <f t="shared" si="0"/>
        <v>0</v>
      </c>
      <c r="B28" s="8">
        <f t="shared" si="2"/>
        <v>2006</v>
      </c>
      <c r="C28" s="8">
        <f t="shared" si="3"/>
        <v>99</v>
      </c>
      <c r="D28" s="8">
        <f t="shared" si="4"/>
        <v>0</v>
      </c>
      <c r="E28" s="7" t="s">
        <v>11</v>
      </c>
      <c r="F28" s="10">
        <v>1</v>
      </c>
      <c r="G28" s="10" t="s">
        <v>34</v>
      </c>
      <c r="H28" s="3" t="str">
        <f t="shared" si="1"/>
        <v>EXECUTE [dbo].[PG_CI_SYS2_ACCESO_USR_FRM_ACCIONES] 0, 2006,    99, 0, 'FO_GENERAR_COMISION';</v>
      </c>
    </row>
    <row r="29" spans="1:8" hidden="1" x14ac:dyDescent="0.3">
      <c r="A29" s="8">
        <f t="shared" si="0"/>
        <v>0</v>
      </c>
      <c r="B29" s="8">
        <f t="shared" si="2"/>
        <v>2006</v>
      </c>
      <c r="C29" s="8">
        <f t="shared" si="3"/>
        <v>99</v>
      </c>
      <c r="D29" s="8">
        <f t="shared" si="4"/>
        <v>0</v>
      </c>
      <c r="E29" s="7" t="s">
        <v>4</v>
      </c>
      <c r="F29" s="10">
        <v>1</v>
      </c>
      <c r="G29" s="10" t="s">
        <v>34</v>
      </c>
      <c r="H29" s="3" t="str">
        <f t="shared" si="1"/>
        <v>EXECUTE [dbo].[PG_CI_SYS2_ACCESO_USR_FRM_ACCIONES] 0, 2006,    99, 0, 'FO_BITACORA_COMISION';</v>
      </c>
    </row>
    <row r="30" spans="1:8" hidden="1" x14ac:dyDescent="0.3">
      <c r="G30" s="10" t="s">
        <v>34</v>
      </c>
      <c r="H30" s="2" t="s">
        <v>32</v>
      </c>
    </row>
    <row r="31" spans="1:8" hidden="1" x14ac:dyDescent="0.3">
      <c r="A31" s="14"/>
      <c r="B31" s="15"/>
      <c r="C31" s="15"/>
      <c r="D31" s="15"/>
      <c r="E31" s="16"/>
      <c r="F31" s="15"/>
      <c r="G31" s="15"/>
      <c r="H31" s="17" t="s">
        <v>38</v>
      </c>
    </row>
    <row r="32" spans="1:8" x14ac:dyDescent="0.3">
      <c r="A32" s="8">
        <f>$A$1</f>
        <v>0</v>
      </c>
      <c r="B32" s="8">
        <f>$B$1</f>
        <v>2006</v>
      </c>
      <c r="C32" s="12">
        <v>1001</v>
      </c>
      <c r="D32" s="10">
        <v>4</v>
      </c>
      <c r="E32" s="7" t="s">
        <v>25</v>
      </c>
      <c r="F32" s="18" t="s">
        <v>40</v>
      </c>
      <c r="G32" s="10" t="s">
        <v>35</v>
      </c>
      <c r="H32" s="3" t="str">
        <f>CONCATENATE("EXECUTE [dbo].[PG_CI_SYS2_ACCESO_USR_FRM_ACCIONES] ",A32,", ",B32,",    ",C32,", ",D32,", '",E32,"';" )</f>
        <v>EXECUTE [dbo].[PG_CI_SYS2_ACCESO_USR_FRM_ACCIONES] 0, 2006,    1001, 4, 'FO_NOMBRE';</v>
      </c>
    </row>
    <row r="33" spans="1:8" x14ac:dyDescent="0.3">
      <c r="A33" s="8">
        <f t="shared" ref="A33:A58" si="5">$A$1</f>
        <v>0</v>
      </c>
      <c r="B33" s="8">
        <f>$B$1</f>
        <v>2006</v>
      </c>
      <c r="C33" s="8">
        <f>C32</f>
        <v>1001</v>
      </c>
      <c r="D33" s="8">
        <v>4</v>
      </c>
      <c r="E33" s="7" t="s">
        <v>18</v>
      </c>
      <c r="F33" s="18">
        <v>0</v>
      </c>
      <c r="G33" s="10" t="s">
        <v>35</v>
      </c>
      <c r="H33" s="3" t="str">
        <f t="shared" ref="H33:H58" si="6">CONCATENATE("EXECUTE [dbo].[PG_CI_SYS2_ACCESO_USR_FRM_ACCIONES] ",A33,", ",B33,",    ",C33,", ",D33,", '",E33,"';" )</f>
        <v>EXECUTE [dbo].[PG_CI_SYS2_ACCESO_USR_FRM_ACCIONES] 0, 2006,    1001, 4, 'FO_PRODUCTO';</v>
      </c>
    </row>
    <row r="34" spans="1:8" x14ac:dyDescent="0.3">
      <c r="A34" s="8">
        <f t="shared" si="5"/>
        <v>0</v>
      </c>
      <c r="B34" s="8">
        <f t="shared" ref="B34:B58" si="7">$B$1</f>
        <v>2006</v>
      </c>
      <c r="C34" s="8">
        <f t="shared" ref="C34:C58" si="8">C33</f>
        <v>1001</v>
      </c>
      <c r="D34" s="8">
        <v>4</v>
      </c>
      <c r="E34" s="7" t="s">
        <v>24</v>
      </c>
      <c r="F34" s="18">
        <v>0</v>
      </c>
      <c r="G34" s="10" t="s">
        <v>35</v>
      </c>
      <c r="H34" s="3" t="str">
        <f t="shared" si="6"/>
        <v>EXECUTE [dbo].[PG_CI_SYS2_ACCESO_USR_FRM_ACCIONES] 0, 2006,    1001, 4, 'FO_TASA_IMPUESTO';</v>
      </c>
    </row>
    <row r="35" spans="1:8" x14ac:dyDescent="0.3">
      <c r="A35" s="8">
        <f t="shared" si="5"/>
        <v>0</v>
      </c>
      <c r="B35" s="8">
        <f t="shared" si="7"/>
        <v>2006</v>
      </c>
      <c r="C35" s="8">
        <f t="shared" si="8"/>
        <v>1001</v>
      </c>
      <c r="D35" s="19">
        <v>2</v>
      </c>
      <c r="E35" s="7" t="s">
        <v>17</v>
      </c>
      <c r="F35" s="18">
        <v>1</v>
      </c>
      <c r="G35" s="10" t="s">
        <v>35</v>
      </c>
      <c r="H35" s="3" t="str">
        <f t="shared" si="6"/>
        <v>EXECUTE [dbo].[PG_CI_SYS2_ACCESO_USR_FRM_ACCIONES] 0, 2006,    1001, 2, 'FO_PRECIO';</v>
      </c>
    </row>
    <row r="36" spans="1:8" x14ac:dyDescent="0.3">
      <c r="A36" s="8">
        <f t="shared" si="5"/>
        <v>0</v>
      </c>
      <c r="B36" s="8">
        <f t="shared" si="7"/>
        <v>2006</v>
      </c>
      <c r="C36" s="8">
        <f t="shared" si="8"/>
        <v>1001</v>
      </c>
      <c r="D36" s="19">
        <v>1</v>
      </c>
      <c r="E36" s="7" t="s">
        <v>21</v>
      </c>
      <c r="F36" s="18">
        <v>1</v>
      </c>
      <c r="G36" s="10" t="s">
        <v>35</v>
      </c>
      <c r="H36" s="3" t="str">
        <f t="shared" si="6"/>
        <v>EXECUTE [dbo].[PG_CI_SYS2_ACCESO_USR_FRM_ACCIONES] 0, 2006,    1001, 1, 'FO_SITIO';</v>
      </c>
    </row>
    <row r="37" spans="1:8" s="9" customFormat="1" x14ac:dyDescent="0.3">
      <c r="A37" s="8">
        <f t="shared" si="5"/>
        <v>0</v>
      </c>
      <c r="B37" s="8">
        <f t="shared" si="7"/>
        <v>2006</v>
      </c>
      <c r="C37" s="8">
        <f t="shared" si="8"/>
        <v>1001</v>
      </c>
      <c r="D37" s="21">
        <v>1</v>
      </c>
      <c r="E37" s="7" t="s">
        <v>47</v>
      </c>
      <c r="F37" s="19">
        <f>F8</f>
        <v>1</v>
      </c>
      <c r="G37" s="10" t="s">
        <v>35</v>
      </c>
      <c r="H37" s="3" t="str">
        <f t="shared" si="6"/>
        <v>EXECUTE [dbo].[PG_CI_SYS2_ACCESO_USR_FRM_ACCIONES] 0, 2006,    1001, 1, 'FO_SITIO_CONTROL_ANUNCIO';</v>
      </c>
    </row>
    <row r="38" spans="1:8" x14ac:dyDescent="0.3">
      <c r="A38" s="8">
        <f t="shared" si="5"/>
        <v>0</v>
      </c>
      <c r="B38" s="8">
        <f t="shared" si="7"/>
        <v>2006</v>
      </c>
      <c r="C38" s="8">
        <f>C36</f>
        <v>1001</v>
      </c>
      <c r="D38" s="19">
        <v>1</v>
      </c>
      <c r="E38" s="7" t="s">
        <v>7</v>
      </c>
      <c r="F38" s="18">
        <v>1</v>
      </c>
      <c r="G38" s="10" t="s">
        <v>35</v>
      </c>
      <c r="H38" s="3" t="str">
        <f t="shared" si="6"/>
        <v>EXECUTE [dbo].[PG_CI_SYS2_ACCESO_USR_FRM_ACCIONES] 0, 2006,    1001, 1, 'FO_CLIENTE';</v>
      </c>
    </row>
    <row r="39" spans="1:8" x14ac:dyDescent="0.3">
      <c r="A39" s="8">
        <f t="shared" si="5"/>
        <v>0</v>
      </c>
      <c r="B39" s="8">
        <f t="shared" si="7"/>
        <v>2006</v>
      </c>
      <c r="C39" s="8">
        <f t="shared" si="8"/>
        <v>1001</v>
      </c>
      <c r="D39" s="19">
        <v>2</v>
      </c>
      <c r="E39" s="7" t="s">
        <v>6</v>
      </c>
      <c r="F39" s="18">
        <v>1</v>
      </c>
      <c r="G39" s="10" t="s">
        <v>35</v>
      </c>
      <c r="H39" s="3" t="str">
        <f t="shared" si="6"/>
        <v>EXECUTE [dbo].[PG_CI_SYS2_ACCESO_USR_FRM_ACCIONES] 0, 2006,    1001, 2, 'FO_CARGO';</v>
      </c>
    </row>
    <row r="40" spans="1:8" x14ac:dyDescent="0.3">
      <c r="A40" s="8">
        <f t="shared" si="5"/>
        <v>0</v>
      </c>
      <c r="B40" s="8">
        <f t="shared" si="7"/>
        <v>2006</v>
      </c>
      <c r="C40" s="8">
        <f t="shared" si="8"/>
        <v>1001</v>
      </c>
      <c r="D40" s="19">
        <v>2</v>
      </c>
      <c r="E40" s="7" t="s">
        <v>9</v>
      </c>
      <c r="F40" s="18">
        <v>1</v>
      </c>
      <c r="G40" s="10" t="s">
        <v>35</v>
      </c>
      <c r="H40" s="3" t="str">
        <f t="shared" si="6"/>
        <v>EXECUTE [dbo].[PG_CI_SYS2_ACCESO_USR_FRM_ACCIONES] 0, 2006,    1001, 2, 'FO_CONDICION_COMERCIAL';</v>
      </c>
    </row>
    <row r="41" spans="1:8" x14ac:dyDescent="0.3">
      <c r="A41" s="8">
        <f t="shared" si="5"/>
        <v>0</v>
      </c>
      <c r="B41" s="8">
        <f t="shared" si="7"/>
        <v>2006</v>
      </c>
      <c r="C41" s="8">
        <f t="shared" si="8"/>
        <v>1001</v>
      </c>
      <c r="D41" s="19">
        <v>6</v>
      </c>
      <c r="E41" s="7" t="s">
        <v>13</v>
      </c>
      <c r="F41" s="18">
        <v>1</v>
      </c>
      <c r="G41" s="10" t="s">
        <v>35</v>
      </c>
      <c r="H41" s="3" t="str">
        <f t="shared" si="6"/>
        <v>EXECUTE [dbo].[PG_CI_SYS2_ACCESO_USR_FRM_ACCIONES] 0, 2006,    1001, 6, 'FO_LECTURA';</v>
      </c>
    </row>
    <row r="42" spans="1:8" x14ac:dyDescent="0.3">
      <c r="A42" s="8">
        <f t="shared" si="5"/>
        <v>0</v>
      </c>
      <c r="B42" s="8">
        <f t="shared" si="7"/>
        <v>2006</v>
      </c>
      <c r="C42" s="8">
        <f t="shared" si="8"/>
        <v>1001</v>
      </c>
      <c r="D42" s="19">
        <v>5</v>
      </c>
      <c r="E42" s="7" t="s">
        <v>23</v>
      </c>
      <c r="F42" s="18">
        <v>1</v>
      </c>
      <c r="G42" s="10" t="s">
        <v>35</v>
      </c>
      <c r="H42" s="3" t="str">
        <f t="shared" si="6"/>
        <v>EXECUTE [dbo].[PG_CI_SYS2_ACCESO_USR_FRM_ACCIONES] 0, 2006,    1001, 5, 'FO_SITIO_CONTROL_RECIBO';</v>
      </c>
    </row>
    <row r="43" spans="1:8" x14ac:dyDescent="0.3">
      <c r="A43" s="8">
        <f t="shared" si="5"/>
        <v>0</v>
      </c>
      <c r="B43" s="8">
        <f t="shared" si="7"/>
        <v>2006</v>
      </c>
      <c r="C43" s="8">
        <f t="shared" si="8"/>
        <v>1001</v>
      </c>
      <c r="D43" s="8">
        <v>4</v>
      </c>
      <c r="E43" s="7" t="s">
        <v>20</v>
      </c>
      <c r="F43" s="18">
        <v>1</v>
      </c>
      <c r="G43" s="10" t="s">
        <v>35</v>
      </c>
      <c r="H43" s="3" t="str">
        <f t="shared" si="6"/>
        <v>EXECUTE [dbo].[PG_CI_SYS2_ACCESO_USR_FRM_ACCIONES] 0, 2006,    1001, 4, 'FO_RENGLON_RECIBO';</v>
      </c>
    </row>
    <row r="44" spans="1:8" x14ac:dyDescent="0.3">
      <c r="A44" s="8">
        <f t="shared" si="5"/>
        <v>0</v>
      </c>
      <c r="B44" s="8">
        <f t="shared" si="7"/>
        <v>2006</v>
      </c>
      <c r="C44" s="8">
        <f t="shared" si="8"/>
        <v>1001</v>
      </c>
      <c r="D44" s="8">
        <v>4</v>
      </c>
      <c r="E44" s="7" t="s">
        <v>19</v>
      </c>
      <c r="F44" s="18">
        <v>1</v>
      </c>
      <c r="G44" s="10" t="s">
        <v>35</v>
      </c>
      <c r="H44" s="3" t="str">
        <f t="shared" si="6"/>
        <v>EXECUTE [dbo].[PG_CI_SYS2_ACCESO_USR_FRM_ACCIONES] 0, 2006,    1001, 4, 'FO_RECIBO';</v>
      </c>
    </row>
    <row r="45" spans="1:8" x14ac:dyDescent="0.3">
      <c r="A45" s="8">
        <f t="shared" si="5"/>
        <v>0</v>
      </c>
      <c r="B45" s="8">
        <f t="shared" si="7"/>
        <v>2006</v>
      </c>
      <c r="C45" s="8">
        <f t="shared" si="8"/>
        <v>1001</v>
      </c>
      <c r="D45" s="19">
        <v>5</v>
      </c>
      <c r="E45" s="7" t="s">
        <v>10</v>
      </c>
      <c r="F45" s="18">
        <v>1</v>
      </c>
      <c r="G45" s="10" t="s">
        <v>35</v>
      </c>
      <c r="H45" s="3" t="str">
        <f t="shared" si="6"/>
        <v>EXECUTE [dbo].[PG_CI_SYS2_ACCESO_USR_FRM_ACCIONES] 0, 2006,    1001, 5, 'FO_GENERA_RECIBO_PDF';</v>
      </c>
    </row>
    <row r="46" spans="1:8" x14ac:dyDescent="0.3">
      <c r="A46" s="8">
        <f t="shared" si="5"/>
        <v>0</v>
      </c>
      <c r="B46" s="8">
        <f t="shared" si="7"/>
        <v>2006</v>
      </c>
      <c r="C46" s="8">
        <f t="shared" si="8"/>
        <v>1001</v>
      </c>
      <c r="D46" s="19">
        <v>5</v>
      </c>
      <c r="E46" s="7" t="s">
        <v>44</v>
      </c>
      <c r="F46" s="18">
        <v>1</v>
      </c>
      <c r="G46" s="10" t="s">
        <v>35</v>
      </c>
      <c r="H46" s="3" t="str">
        <f t="shared" si="6"/>
        <v>EXECUTE [dbo].[PG_CI_SYS2_ACCESO_USR_FRM_ACCIONES] 0, 2006,    1001, 5, 'FO_GENERA_ESTADO_CUENTA_PDF';</v>
      </c>
    </row>
    <row r="47" spans="1:8" x14ac:dyDescent="0.3">
      <c r="A47" s="8">
        <f t="shared" si="5"/>
        <v>0</v>
      </c>
      <c r="B47" s="8">
        <f t="shared" si="7"/>
        <v>2006</v>
      </c>
      <c r="C47" s="8">
        <f t="shared" si="8"/>
        <v>1001</v>
      </c>
      <c r="D47" s="19">
        <v>1</v>
      </c>
      <c r="E47" s="7" t="s">
        <v>15</v>
      </c>
      <c r="F47" s="18">
        <v>1</v>
      </c>
      <c r="G47" s="10" t="s">
        <v>35</v>
      </c>
      <c r="H47" s="3" t="str">
        <f t="shared" si="6"/>
        <v>EXECUTE [dbo].[PG_CI_SYS2_ACCESO_USR_FRM_ACCIONES] 0, 2006,    1001, 1, 'FO_PAGO';</v>
      </c>
    </row>
    <row r="48" spans="1:8" x14ac:dyDescent="0.3">
      <c r="A48" s="8">
        <f t="shared" si="5"/>
        <v>0</v>
      </c>
      <c r="B48" s="8">
        <f t="shared" si="7"/>
        <v>2006</v>
      </c>
      <c r="C48" s="8">
        <f t="shared" si="8"/>
        <v>1001</v>
      </c>
      <c r="D48" s="19">
        <v>5</v>
      </c>
      <c r="E48" s="7" t="s">
        <v>3</v>
      </c>
      <c r="F48" s="18">
        <v>1</v>
      </c>
      <c r="G48" s="10" t="s">
        <v>35</v>
      </c>
      <c r="H48" s="3" t="str">
        <f t="shared" si="6"/>
        <v>EXECUTE [dbo].[PG_CI_SYS2_ACCESO_USR_FRM_ACCIONES] 0, 2006,    1001, 5, 'FO_APLICAR_PAGO_CLIENTE';</v>
      </c>
    </row>
    <row r="49" spans="1:8" x14ac:dyDescent="0.3">
      <c r="A49" s="8">
        <f t="shared" si="5"/>
        <v>0</v>
      </c>
      <c r="B49" s="8">
        <f t="shared" si="7"/>
        <v>2006</v>
      </c>
      <c r="C49" s="8">
        <f t="shared" si="8"/>
        <v>1001</v>
      </c>
      <c r="D49" s="8">
        <v>4</v>
      </c>
      <c r="E49" s="7" t="s">
        <v>16</v>
      </c>
      <c r="F49" s="18">
        <v>1</v>
      </c>
      <c r="G49" s="10" t="s">
        <v>35</v>
      </c>
      <c r="H49" s="3" t="str">
        <f t="shared" si="6"/>
        <v>EXECUTE [dbo].[PG_CI_SYS2_ACCESO_USR_FRM_ACCIONES] 0, 2006,    1001, 4, 'FO_PAGO_RECIBO';</v>
      </c>
    </row>
    <row r="50" spans="1:8" x14ac:dyDescent="0.3">
      <c r="A50" s="8">
        <f t="shared" si="5"/>
        <v>0</v>
      </c>
      <c r="B50" s="8">
        <f t="shared" si="7"/>
        <v>2006</v>
      </c>
      <c r="C50" s="8">
        <f t="shared" si="8"/>
        <v>1001</v>
      </c>
      <c r="D50" s="19">
        <v>5</v>
      </c>
      <c r="E50" s="7" t="s">
        <v>8</v>
      </c>
      <c r="F50" s="18">
        <v>1</v>
      </c>
      <c r="G50" s="10" t="s">
        <v>35</v>
      </c>
      <c r="H50" s="3" t="str">
        <f t="shared" si="6"/>
        <v>EXECUTE [dbo].[PG_CI_SYS2_ACCESO_USR_FRM_ACCIONES] 0, 2006,    1001, 5, 'FO_CLIENTE_DESCONEXION_RECONEXION';</v>
      </c>
    </row>
    <row r="51" spans="1:8" x14ac:dyDescent="0.3">
      <c r="A51" s="8">
        <f t="shared" si="5"/>
        <v>0</v>
      </c>
      <c r="B51" s="8">
        <f t="shared" si="7"/>
        <v>2006</v>
      </c>
      <c r="C51" s="8">
        <f t="shared" si="8"/>
        <v>1001</v>
      </c>
      <c r="D51" s="8">
        <v>4</v>
      </c>
      <c r="E51" s="7" t="s">
        <v>5</v>
      </c>
      <c r="F51" s="18">
        <v>1</v>
      </c>
      <c r="G51" s="10" t="s">
        <v>35</v>
      </c>
      <c r="H51" s="3" t="str">
        <f t="shared" si="6"/>
        <v>EXECUTE [dbo].[PG_CI_SYS2_ACCESO_USR_FRM_ACCIONES] 0, 2006,    1001, 4, 'FO_BITACORA_DESCONEXION_RECONEXION';</v>
      </c>
    </row>
    <row r="52" spans="1:8" x14ac:dyDescent="0.3">
      <c r="A52" s="8">
        <f t="shared" si="5"/>
        <v>0</v>
      </c>
      <c r="B52" s="8">
        <f t="shared" si="7"/>
        <v>2006</v>
      </c>
      <c r="C52" s="8">
        <f t="shared" si="8"/>
        <v>1001</v>
      </c>
      <c r="D52" s="19">
        <v>1</v>
      </c>
      <c r="E52" s="7" t="s">
        <v>2</v>
      </c>
      <c r="F52" s="18">
        <v>1</v>
      </c>
      <c r="G52" s="10" t="s">
        <v>35</v>
      </c>
      <c r="H52" s="3" t="str">
        <f t="shared" si="6"/>
        <v>EXECUTE [dbo].[PG_CI_SYS2_ACCESO_USR_FRM_ACCIONES] 0, 2006,    1001, 1, 'FO_ALMACEN_SITIO';</v>
      </c>
    </row>
    <row r="53" spans="1:8" x14ac:dyDescent="0.3">
      <c r="A53" s="8">
        <f t="shared" si="5"/>
        <v>0</v>
      </c>
      <c r="B53" s="8">
        <f t="shared" si="7"/>
        <v>2006</v>
      </c>
      <c r="C53" s="8">
        <f t="shared" si="8"/>
        <v>1001</v>
      </c>
      <c r="D53" s="19">
        <v>2</v>
      </c>
      <c r="E53" s="7" t="s">
        <v>14</v>
      </c>
      <c r="F53" s="18">
        <v>1</v>
      </c>
      <c r="G53" s="10" t="s">
        <v>35</v>
      </c>
      <c r="H53" s="3" t="str">
        <f t="shared" si="6"/>
        <v>EXECUTE [dbo].[PG_CI_SYS2_ACCESO_USR_FRM_ACCIONES] 0, 2006,    1001, 2, 'FO_MOVIMIENTO_ALMACEN';</v>
      </c>
    </row>
    <row r="54" spans="1:8" x14ac:dyDescent="0.3">
      <c r="A54" s="8">
        <f t="shared" si="5"/>
        <v>0</v>
      </c>
      <c r="B54" s="8">
        <f t="shared" si="7"/>
        <v>2006</v>
      </c>
      <c r="C54" s="8">
        <f t="shared" si="8"/>
        <v>1001</v>
      </c>
      <c r="D54" s="8">
        <v>4</v>
      </c>
      <c r="E54" s="7" t="s">
        <v>12</v>
      </c>
      <c r="F54" s="18">
        <v>1</v>
      </c>
      <c r="G54" s="10" t="s">
        <v>35</v>
      </c>
      <c r="H54" s="3" t="str">
        <f t="shared" si="6"/>
        <v>EXECUTE [dbo].[PG_CI_SYS2_ACCESO_USR_FRM_ACCIONES] 0, 2006,    1001, 4, 'FO_HISTORIA_ALMACEN';</v>
      </c>
    </row>
    <row r="55" spans="1:8" x14ac:dyDescent="0.3">
      <c r="A55" s="8">
        <f t="shared" si="5"/>
        <v>0</v>
      </c>
      <c r="B55" s="8">
        <f t="shared" si="7"/>
        <v>2006</v>
      </c>
      <c r="C55" s="8">
        <f t="shared" si="8"/>
        <v>1001</v>
      </c>
      <c r="D55" s="19">
        <v>1</v>
      </c>
      <c r="E55" s="7" t="s">
        <v>1</v>
      </c>
      <c r="F55" s="18">
        <v>1</v>
      </c>
      <c r="G55" s="10" t="s">
        <v>35</v>
      </c>
      <c r="H55" s="3" t="str">
        <f t="shared" si="6"/>
        <v>EXECUTE [dbo].[PG_CI_SYS2_ACCESO_USR_FRM_ACCIONES] 0, 2006,    1001, 1, 'FO_ADMINISTRADOR';</v>
      </c>
    </row>
    <row r="56" spans="1:8" x14ac:dyDescent="0.3">
      <c r="A56" s="8">
        <f t="shared" si="5"/>
        <v>0</v>
      </c>
      <c r="B56" s="8">
        <f t="shared" si="7"/>
        <v>2006</v>
      </c>
      <c r="C56" s="8">
        <f t="shared" si="8"/>
        <v>1001</v>
      </c>
      <c r="D56" s="19">
        <v>1</v>
      </c>
      <c r="E56" s="7" t="s">
        <v>22</v>
      </c>
      <c r="F56" s="18">
        <v>1</v>
      </c>
      <c r="G56" s="10" t="s">
        <v>35</v>
      </c>
      <c r="H56" s="3" t="str">
        <f t="shared" si="6"/>
        <v>EXECUTE [dbo].[PG_CI_SYS2_ACCESO_USR_FRM_ACCIONES] 0, 2006,    1001, 1, 'FO_SITIO_ADMINISTRADOR';</v>
      </c>
    </row>
    <row r="57" spans="1:8" x14ac:dyDescent="0.3">
      <c r="A57" s="8">
        <f t="shared" si="5"/>
        <v>0</v>
      </c>
      <c r="B57" s="8">
        <f t="shared" si="7"/>
        <v>2006</v>
      </c>
      <c r="C57" s="8">
        <f t="shared" si="8"/>
        <v>1001</v>
      </c>
      <c r="D57" s="19">
        <v>5</v>
      </c>
      <c r="E57" s="7" t="s">
        <v>11</v>
      </c>
      <c r="F57" s="18">
        <v>1</v>
      </c>
      <c r="G57" s="10" t="s">
        <v>35</v>
      </c>
      <c r="H57" s="3" t="str">
        <f t="shared" si="6"/>
        <v>EXECUTE [dbo].[PG_CI_SYS2_ACCESO_USR_FRM_ACCIONES] 0, 2006,    1001, 5, 'FO_GENERAR_COMISION';</v>
      </c>
    </row>
    <row r="58" spans="1:8" x14ac:dyDescent="0.3">
      <c r="A58" s="8">
        <f t="shared" si="5"/>
        <v>0</v>
      </c>
      <c r="B58" s="8">
        <f t="shared" si="7"/>
        <v>2006</v>
      </c>
      <c r="C58" s="8">
        <f t="shared" si="8"/>
        <v>1001</v>
      </c>
      <c r="D58" s="8">
        <v>4</v>
      </c>
      <c r="E58" s="7" t="s">
        <v>4</v>
      </c>
      <c r="F58" s="18">
        <v>1</v>
      </c>
      <c r="G58" s="10" t="s">
        <v>35</v>
      </c>
      <c r="H58" s="3" t="str">
        <f t="shared" si="6"/>
        <v>EXECUTE [dbo].[PG_CI_SYS2_ACCESO_USR_FRM_ACCIONES] 0, 2006,    1001, 4, 'FO_BITACORA_COMISION';</v>
      </c>
    </row>
    <row r="59" spans="1:8" x14ac:dyDescent="0.3">
      <c r="D59" s="11"/>
      <c r="F59" s="18"/>
      <c r="G59" s="11" t="s">
        <v>35</v>
      </c>
      <c r="H59" s="2" t="s">
        <v>32</v>
      </c>
    </row>
    <row r="60" spans="1:8" hidden="1" x14ac:dyDescent="0.3">
      <c r="A60" s="14"/>
      <c r="B60" s="15"/>
      <c r="C60" s="15"/>
      <c r="D60" s="15"/>
      <c r="E60" s="16"/>
      <c r="F60" s="15"/>
      <c r="G60" s="15"/>
      <c r="H60" s="17" t="s">
        <v>37</v>
      </c>
    </row>
    <row r="61" spans="1:8" x14ac:dyDescent="0.3">
      <c r="A61" s="8">
        <f>$A$1</f>
        <v>0</v>
      </c>
      <c r="B61" s="8">
        <f>$B$1</f>
        <v>2006</v>
      </c>
      <c r="C61" s="12">
        <v>1002</v>
      </c>
      <c r="D61" s="10">
        <v>4</v>
      </c>
      <c r="E61" s="7" t="s">
        <v>25</v>
      </c>
      <c r="F61" s="19" t="str">
        <f t="shared" ref="F61:F87" si="9">F32</f>
        <v>X</v>
      </c>
      <c r="G61" s="10" t="s">
        <v>35</v>
      </c>
      <c r="H61" s="3" t="str">
        <f t="shared" ref="H61:H87" si="10">CONCATENATE("EXECUTE [dbo].[PG_CI_SYS2_ACCESO_USR_FRM_ACCIONES] ",A61,", ",B61,",    ",C61,", ",D61,", '",E61,"';" )</f>
        <v>EXECUTE [dbo].[PG_CI_SYS2_ACCESO_USR_FRM_ACCIONES] 0, 2006,    1002, 4, 'FO_NOMBRE';</v>
      </c>
    </row>
    <row r="62" spans="1:8" x14ac:dyDescent="0.3">
      <c r="A62" s="8">
        <f t="shared" ref="A62:A87" si="11">$A$1</f>
        <v>0</v>
      </c>
      <c r="B62" s="8">
        <f>$B$1</f>
        <v>2006</v>
      </c>
      <c r="C62" s="8">
        <f>C61</f>
        <v>1002</v>
      </c>
      <c r="D62" s="8">
        <v>4</v>
      </c>
      <c r="E62" s="7" t="s">
        <v>18</v>
      </c>
      <c r="F62" s="19">
        <f t="shared" si="9"/>
        <v>0</v>
      </c>
      <c r="G62" s="10" t="s">
        <v>35</v>
      </c>
      <c r="H62" s="3" t="str">
        <f t="shared" si="10"/>
        <v>EXECUTE [dbo].[PG_CI_SYS2_ACCESO_USR_FRM_ACCIONES] 0, 2006,    1002, 4, 'FO_PRODUCTO';</v>
      </c>
    </row>
    <row r="63" spans="1:8" x14ac:dyDescent="0.3">
      <c r="A63" s="8">
        <f t="shared" si="11"/>
        <v>0</v>
      </c>
      <c r="B63" s="8">
        <f t="shared" ref="B63:B87" si="12">$B$1</f>
        <v>2006</v>
      </c>
      <c r="C63" s="8">
        <f t="shared" ref="C63:C87" si="13">C62</f>
        <v>1002</v>
      </c>
      <c r="D63" s="8">
        <v>4</v>
      </c>
      <c r="E63" s="7" t="s">
        <v>24</v>
      </c>
      <c r="F63" s="19">
        <f t="shared" si="9"/>
        <v>0</v>
      </c>
      <c r="G63" s="10" t="s">
        <v>35</v>
      </c>
      <c r="H63" s="3" t="str">
        <f t="shared" si="10"/>
        <v>EXECUTE [dbo].[PG_CI_SYS2_ACCESO_USR_FRM_ACCIONES] 0, 2006,    1002, 4, 'FO_TASA_IMPUESTO';</v>
      </c>
    </row>
    <row r="64" spans="1:8" x14ac:dyDescent="0.3">
      <c r="A64" s="8">
        <f t="shared" si="11"/>
        <v>0</v>
      </c>
      <c r="B64" s="8">
        <f t="shared" si="12"/>
        <v>2006</v>
      </c>
      <c r="C64" s="8">
        <f t="shared" si="13"/>
        <v>1002</v>
      </c>
      <c r="D64" s="19">
        <v>2</v>
      </c>
      <c r="E64" s="7" t="s">
        <v>17</v>
      </c>
      <c r="F64" s="19">
        <f t="shared" si="9"/>
        <v>1</v>
      </c>
      <c r="G64" s="10" t="s">
        <v>35</v>
      </c>
      <c r="H64" s="3" t="str">
        <f t="shared" si="10"/>
        <v>EXECUTE [dbo].[PG_CI_SYS2_ACCESO_USR_FRM_ACCIONES] 0, 2006,    1002, 2, 'FO_PRECIO';</v>
      </c>
    </row>
    <row r="65" spans="1:8" x14ac:dyDescent="0.3">
      <c r="A65" s="8">
        <f t="shared" si="11"/>
        <v>0</v>
      </c>
      <c r="B65" s="8">
        <f t="shared" si="12"/>
        <v>2006</v>
      </c>
      <c r="C65" s="8">
        <f t="shared" si="13"/>
        <v>1002</v>
      </c>
      <c r="D65" s="21">
        <v>1</v>
      </c>
      <c r="E65" s="7" t="s">
        <v>21</v>
      </c>
      <c r="F65" s="19">
        <f t="shared" si="9"/>
        <v>1</v>
      </c>
      <c r="G65" s="10" t="s">
        <v>35</v>
      </c>
      <c r="H65" s="3" t="str">
        <f t="shared" si="10"/>
        <v>EXECUTE [dbo].[PG_CI_SYS2_ACCESO_USR_FRM_ACCIONES] 0, 2006,    1002, 1, 'FO_SITIO';</v>
      </c>
    </row>
    <row r="66" spans="1:8" s="9" customFormat="1" x14ac:dyDescent="0.3">
      <c r="A66" s="8">
        <f t="shared" si="11"/>
        <v>0</v>
      </c>
      <c r="B66" s="8">
        <f t="shared" si="12"/>
        <v>2006</v>
      </c>
      <c r="C66" s="8">
        <f t="shared" si="13"/>
        <v>1002</v>
      </c>
      <c r="D66" s="21">
        <v>1</v>
      </c>
      <c r="E66" s="7" t="s">
        <v>47</v>
      </c>
      <c r="F66" s="19">
        <f t="shared" si="9"/>
        <v>1</v>
      </c>
      <c r="G66" s="10" t="s">
        <v>35</v>
      </c>
      <c r="H66" s="3" t="str">
        <f t="shared" si="10"/>
        <v>EXECUTE [dbo].[PG_CI_SYS2_ACCESO_USR_FRM_ACCIONES] 0, 2006,    1002, 1, 'FO_SITIO_CONTROL_ANUNCIO';</v>
      </c>
    </row>
    <row r="67" spans="1:8" x14ac:dyDescent="0.3">
      <c r="A67" s="8">
        <f t="shared" si="11"/>
        <v>0</v>
      </c>
      <c r="B67" s="8">
        <f t="shared" si="12"/>
        <v>2006</v>
      </c>
      <c r="C67" s="8">
        <f>C65</f>
        <v>1002</v>
      </c>
      <c r="D67" s="21">
        <v>1</v>
      </c>
      <c r="E67" s="7" t="s">
        <v>7</v>
      </c>
      <c r="F67" s="19">
        <f t="shared" si="9"/>
        <v>1</v>
      </c>
      <c r="G67" s="10" t="s">
        <v>35</v>
      </c>
      <c r="H67" s="3" t="str">
        <f t="shared" si="10"/>
        <v>EXECUTE [dbo].[PG_CI_SYS2_ACCESO_USR_FRM_ACCIONES] 0, 2006,    1002, 1, 'FO_CLIENTE';</v>
      </c>
    </row>
    <row r="68" spans="1:8" x14ac:dyDescent="0.3">
      <c r="A68" s="8">
        <f t="shared" si="11"/>
        <v>0</v>
      </c>
      <c r="B68" s="8">
        <f t="shared" si="12"/>
        <v>2006</v>
      </c>
      <c r="C68" s="8">
        <f t="shared" si="13"/>
        <v>1002</v>
      </c>
      <c r="D68" s="19">
        <v>2</v>
      </c>
      <c r="E68" s="7" t="s">
        <v>6</v>
      </c>
      <c r="F68" s="19">
        <f t="shared" si="9"/>
        <v>1</v>
      </c>
      <c r="G68" s="10" t="s">
        <v>35</v>
      </c>
      <c r="H68" s="3" t="str">
        <f t="shared" si="10"/>
        <v>EXECUTE [dbo].[PG_CI_SYS2_ACCESO_USR_FRM_ACCIONES] 0, 2006,    1002, 2, 'FO_CARGO';</v>
      </c>
    </row>
    <row r="69" spans="1:8" x14ac:dyDescent="0.3">
      <c r="A69" s="8">
        <f t="shared" si="11"/>
        <v>0</v>
      </c>
      <c r="B69" s="8">
        <f t="shared" si="12"/>
        <v>2006</v>
      </c>
      <c r="C69" s="8">
        <f t="shared" si="13"/>
        <v>1002</v>
      </c>
      <c r="D69" s="19">
        <v>2</v>
      </c>
      <c r="E69" s="7" t="s">
        <v>9</v>
      </c>
      <c r="F69" s="19">
        <f t="shared" si="9"/>
        <v>1</v>
      </c>
      <c r="G69" s="10" t="s">
        <v>35</v>
      </c>
      <c r="H69" s="3" t="str">
        <f t="shared" si="10"/>
        <v>EXECUTE [dbo].[PG_CI_SYS2_ACCESO_USR_FRM_ACCIONES] 0, 2006,    1002, 2, 'FO_CONDICION_COMERCIAL';</v>
      </c>
    </row>
    <row r="70" spans="1:8" x14ac:dyDescent="0.3">
      <c r="A70" s="8">
        <f t="shared" si="11"/>
        <v>0</v>
      </c>
      <c r="B70" s="8">
        <f t="shared" si="12"/>
        <v>2006</v>
      </c>
      <c r="C70" s="8">
        <f t="shared" si="13"/>
        <v>1002</v>
      </c>
      <c r="D70" s="19">
        <v>6</v>
      </c>
      <c r="E70" s="7" t="s">
        <v>13</v>
      </c>
      <c r="F70" s="19">
        <f t="shared" si="9"/>
        <v>1</v>
      </c>
      <c r="G70" s="10" t="s">
        <v>35</v>
      </c>
      <c r="H70" s="3" t="str">
        <f t="shared" si="10"/>
        <v>EXECUTE [dbo].[PG_CI_SYS2_ACCESO_USR_FRM_ACCIONES] 0, 2006,    1002, 6, 'FO_LECTURA';</v>
      </c>
    </row>
    <row r="71" spans="1:8" x14ac:dyDescent="0.3">
      <c r="A71" s="8">
        <f t="shared" si="11"/>
        <v>0</v>
      </c>
      <c r="B71" s="8">
        <f t="shared" si="12"/>
        <v>2006</v>
      </c>
      <c r="C71" s="8">
        <f t="shared" si="13"/>
        <v>1002</v>
      </c>
      <c r="D71" s="19">
        <v>5</v>
      </c>
      <c r="E71" s="7" t="s">
        <v>23</v>
      </c>
      <c r="F71" s="19">
        <f t="shared" si="9"/>
        <v>1</v>
      </c>
      <c r="G71" s="10" t="s">
        <v>35</v>
      </c>
      <c r="H71" s="3" t="str">
        <f t="shared" si="10"/>
        <v>EXECUTE [dbo].[PG_CI_SYS2_ACCESO_USR_FRM_ACCIONES] 0, 2006,    1002, 5, 'FO_SITIO_CONTROL_RECIBO';</v>
      </c>
    </row>
    <row r="72" spans="1:8" x14ac:dyDescent="0.3">
      <c r="A72" s="8">
        <f t="shared" si="11"/>
        <v>0</v>
      </c>
      <c r="B72" s="8">
        <f t="shared" si="12"/>
        <v>2006</v>
      </c>
      <c r="C72" s="8">
        <f t="shared" si="13"/>
        <v>1002</v>
      </c>
      <c r="D72" s="8">
        <v>4</v>
      </c>
      <c r="E72" s="7" t="s">
        <v>20</v>
      </c>
      <c r="F72" s="19">
        <f t="shared" si="9"/>
        <v>1</v>
      </c>
      <c r="G72" s="10" t="s">
        <v>35</v>
      </c>
      <c r="H72" s="3" t="str">
        <f t="shared" si="10"/>
        <v>EXECUTE [dbo].[PG_CI_SYS2_ACCESO_USR_FRM_ACCIONES] 0, 2006,    1002, 4, 'FO_RENGLON_RECIBO';</v>
      </c>
    </row>
    <row r="73" spans="1:8" x14ac:dyDescent="0.3">
      <c r="A73" s="8">
        <f t="shared" si="11"/>
        <v>0</v>
      </c>
      <c r="B73" s="8">
        <f t="shared" si="12"/>
        <v>2006</v>
      </c>
      <c r="C73" s="8">
        <f t="shared" si="13"/>
        <v>1002</v>
      </c>
      <c r="D73" s="8">
        <v>4</v>
      </c>
      <c r="E73" s="7" t="s">
        <v>19</v>
      </c>
      <c r="F73" s="19">
        <f t="shared" si="9"/>
        <v>1</v>
      </c>
      <c r="G73" s="10" t="s">
        <v>35</v>
      </c>
      <c r="H73" s="3" t="str">
        <f t="shared" si="10"/>
        <v>EXECUTE [dbo].[PG_CI_SYS2_ACCESO_USR_FRM_ACCIONES] 0, 2006,    1002, 4, 'FO_RECIBO';</v>
      </c>
    </row>
    <row r="74" spans="1:8" x14ac:dyDescent="0.3">
      <c r="A74" s="8">
        <f t="shared" si="11"/>
        <v>0</v>
      </c>
      <c r="B74" s="8">
        <f t="shared" si="12"/>
        <v>2006</v>
      </c>
      <c r="C74" s="8">
        <f t="shared" si="13"/>
        <v>1002</v>
      </c>
      <c r="D74" s="19">
        <v>5</v>
      </c>
      <c r="E74" s="7" t="s">
        <v>10</v>
      </c>
      <c r="F74" s="19">
        <f t="shared" si="9"/>
        <v>1</v>
      </c>
      <c r="G74" s="10" t="s">
        <v>35</v>
      </c>
      <c r="H74" s="3" t="str">
        <f t="shared" si="10"/>
        <v>EXECUTE [dbo].[PG_CI_SYS2_ACCESO_USR_FRM_ACCIONES] 0, 2006,    1002, 5, 'FO_GENERA_RECIBO_PDF';</v>
      </c>
    </row>
    <row r="75" spans="1:8" x14ac:dyDescent="0.3">
      <c r="A75" s="8">
        <f t="shared" si="11"/>
        <v>0</v>
      </c>
      <c r="B75" s="8">
        <f t="shared" si="12"/>
        <v>2006</v>
      </c>
      <c r="C75" s="8">
        <f t="shared" si="13"/>
        <v>1002</v>
      </c>
      <c r="D75" s="19">
        <v>5</v>
      </c>
      <c r="E75" s="7" t="s">
        <v>44</v>
      </c>
      <c r="F75" s="19">
        <f t="shared" si="9"/>
        <v>1</v>
      </c>
      <c r="G75" s="10" t="s">
        <v>35</v>
      </c>
      <c r="H75" s="3" t="str">
        <f t="shared" si="10"/>
        <v>EXECUTE [dbo].[PG_CI_SYS2_ACCESO_USR_FRM_ACCIONES] 0, 2006,    1002, 5, 'FO_GENERA_ESTADO_CUENTA_PDF';</v>
      </c>
    </row>
    <row r="76" spans="1:8" x14ac:dyDescent="0.3">
      <c r="A76" s="8">
        <f t="shared" si="11"/>
        <v>0</v>
      </c>
      <c r="B76" s="8">
        <f t="shared" si="12"/>
        <v>2006</v>
      </c>
      <c r="C76" s="8">
        <f t="shared" si="13"/>
        <v>1002</v>
      </c>
      <c r="D76" s="21">
        <v>2</v>
      </c>
      <c r="E76" s="7" t="s">
        <v>15</v>
      </c>
      <c r="F76" s="19">
        <f t="shared" si="9"/>
        <v>1</v>
      </c>
      <c r="G76" s="10" t="s">
        <v>35</v>
      </c>
      <c r="H76" s="3" t="str">
        <f t="shared" si="10"/>
        <v>EXECUTE [dbo].[PG_CI_SYS2_ACCESO_USR_FRM_ACCIONES] 0, 2006,    1002, 2, 'FO_PAGO';</v>
      </c>
    </row>
    <row r="77" spans="1:8" x14ac:dyDescent="0.3">
      <c r="A77" s="8">
        <f t="shared" si="11"/>
        <v>0</v>
      </c>
      <c r="B77" s="8">
        <f t="shared" si="12"/>
        <v>2006</v>
      </c>
      <c r="C77" s="8">
        <f t="shared" si="13"/>
        <v>1002</v>
      </c>
      <c r="D77" s="19">
        <v>5</v>
      </c>
      <c r="E77" s="7" t="s">
        <v>3</v>
      </c>
      <c r="F77" s="19">
        <f t="shared" si="9"/>
        <v>1</v>
      </c>
      <c r="G77" s="10" t="s">
        <v>35</v>
      </c>
      <c r="H77" s="3" t="str">
        <f t="shared" si="10"/>
        <v>EXECUTE [dbo].[PG_CI_SYS2_ACCESO_USR_FRM_ACCIONES] 0, 2006,    1002, 5, 'FO_APLICAR_PAGO_CLIENTE';</v>
      </c>
    </row>
    <row r="78" spans="1:8" x14ac:dyDescent="0.3">
      <c r="A78" s="8">
        <f t="shared" si="11"/>
        <v>0</v>
      </c>
      <c r="B78" s="8">
        <f t="shared" si="12"/>
        <v>2006</v>
      </c>
      <c r="C78" s="8">
        <f t="shared" si="13"/>
        <v>1002</v>
      </c>
      <c r="D78" s="8">
        <v>4</v>
      </c>
      <c r="E78" s="7" t="s">
        <v>16</v>
      </c>
      <c r="F78" s="19">
        <f t="shared" si="9"/>
        <v>1</v>
      </c>
      <c r="G78" s="10" t="s">
        <v>35</v>
      </c>
      <c r="H78" s="3" t="str">
        <f t="shared" si="10"/>
        <v>EXECUTE [dbo].[PG_CI_SYS2_ACCESO_USR_FRM_ACCIONES] 0, 2006,    1002, 4, 'FO_PAGO_RECIBO';</v>
      </c>
    </row>
    <row r="79" spans="1:8" x14ac:dyDescent="0.3">
      <c r="A79" s="8">
        <f t="shared" si="11"/>
        <v>0</v>
      </c>
      <c r="B79" s="8">
        <f t="shared" si="12"/>
        <v>2006</v>
      </c>
      <c r="C79" s="8">
        <f t="shared" si="13"/>
        <v>1002</v>
      </c>
      <c r="D79" s="19">
        <v>5</v>
      </c>
      <c r="E79" s="7" t="s">
        <v>8</v>
      </c>
      <c r="F79" s="19">
        <f t="shared" si="9"/>
        <v>1</v>
      </c>
      <c r="G79" s="10" t="s">
        <v>35</v>
      </c>
      <c r="H79" s="3" t="str">
        <f t="shared" si="10"/>
        <v>EXECUTE [dbo].[PG_CI_SYS2_ACCESO_USR_FRM_ACCIONES] 0, 2006,    1002, 5, 'FO_CLIENTE_DESCONEXION_RECONEXION';</v>
      </c>
    </row>
    <row r="80" spans="1:8" x14ac:dyDescent="0.3">
      <c r="A80" s="8">
        <f t="shared" si="11"/>
        <v>0</v>
      </c>
      <c r="B80" s="8">
        <f t="shared" si="12"/>
        <v>2006</v>
      </c>
      <c r="C80" s="8">
        <f t="shared" si="13"/>
        <v>1002</v>
      </c>
      <c r="D80" s="8">
        <v>4</v>
      </c>
      <c r="E80" s="7" t="s">
        <v>5</v>
      </c>
      <c r="F80" s="19">
        <f t="shared" si="9"/>
        <v>1</v>
      </c>
      <c r="G80" s="10" t="s">
        <v>35</v>
      </c>
      <c r="H80" s="3" t="str">
        <f t="shared" si="10"/>
        <v>EXECUTE [dbo].[PG_CI_SYS2_ACCESO_USR_FRM_ACCIONES] 0, 2006,    1002, 4, 'FO_BITACORA_DESCONEXION_RECONEXION';</v>
      </c>
    </row>
    <row r="81" spans="1:8" x14ac:dyDescent="0.3">
      <c r="A81" s="8">
        <f t="shared" si="11"/>
        <v>0</v>
      </c>
      <c r="B81" s="8">
        <f t="shared" si="12"/>
        <v>2006</v>
      </c>
      <c r="C81" s="8">
        <f t="shared" si="13"/>
        <v>1002</v>
      </c>
      <c r="D81" s="21">
        <v>1</v>
      </c>
      <c r="E81" s="7" t="s">
        <v>2</v>
      </c>
      <c r="F81" s="19">
        <f t="shared" si="9"/>
        <v>1</v>
      </c>
      <c r="G81" s="10" t="s">
        <v>35</v>
      </c>
      <c r="H81" s="3" t="str">
        <f t="shared" si="10"/>
        <v>EXECUTE [dbo].[PG_CI_SYS2_ACCESO_USR_FRM_ACCIONES] 0, 2006,    1002, 1, 'FO_ALMACEN_SITIO';</v>
      </c>
    </row>
    <row r="82" spans="1:8" x14ac:dyDescent="0.3">
      <c r="A82" s="8">
        <f t="shared" si="11"/>
        <v>0</v>
      </c>
      <c r="B82" s="8">
        <f t="shared" si="12"/>
        <v>2006</v>
      </c>
      <c r="C82" s="8">
        <f t="shared" si="13"/>
        <v>1002</v>
      </c>
      <c r="D82" s="19">
        <v>2</v>
      </c>
      <c r="E82" s="7" t="s">
        <v>14</v>
      </c>
      <c r="F82" s="19">
        <f t="shared" si="9"/>
        <v>1</v>
      </c>
      <c r="G82" s="10" t="s">
        <v>35</v>
      </c>
      <c r="H82" s="3" t="str">
        <f t="shared" si="10"/>
        <v>EXECUTE [dbo].[PG_CI_SYS2_ACCESO_USR_FRM_ACCIONES] 0, 2006,    1002, 2, 'FO_MOVIMIENTO_ALMACEN';</v>
      </c>
    </row>
    <row r="83" spans="1:8" x14ac:dyDescent="0.3">
      <c r="A83" s="8">
        <f t="shared" si="11"/>
        <v>0</v>
      </c>
      <c r="B83" s="8">
        <f t="shared" si="12"/>
        <v>2006</v>
      </c>
      <c r="C83" s="8">
        <f t="shared" si="13"/>
        <v>1002</v>
      </c>
      <c r="D83" s="8">
        <v>4</v>
      </c>
      <c r="E83" s="7" t="s">
        <v>12</v>
      </c>
      <c r="F83" s="19">
        <f t="shared" si="9"/>
        <v>1</v>
      </c>
      <c r="G83" s="10" t="s">
        <v>35</v>
      </c>
      <c r="H83" s="3" t="str">
        <f t="shared" si="10"/>
        <v>EXECUTE [dbo].[PG_CI_SYS2_ACCESO_USR_FRM_ACCIONES] 0, 2006,    1002, 4, 'FO_HISTORIA_ALMACEN';</v>
      </c>
    </row>
    <row r="84" spans="1:8" x14ac:dyDescent="0.3">
      <c r="A84" s="8">
        <f t="shared" si="11"/>
        <v>0</v>
      </c>
      <c r="B84" s="8">
        <f t="shared" si="12"/>
        <v>2006</v>
      </c>
      <c r="C84" s="8">
        <f t="shared" si="13"/>
        <v>1002</v>
      </c>
      <c r="D84" s="21">
        <v>1</v>
      </c>
      <c r="E84" s="7" t="s">
        <v>1</v>
      </c>
      <c r="F84" s="19">
        <f t="shared" si="9"/>
        <v>1</v>
      </c>
      <c r="G84" s="10" t="s">
        <v>35</v>
      </c>
      <c r="H84" s="3" t="str">
        <f t="shared" si="10"/>
        <v>EXECUTE [dbo].[PG_CI_SYS2_ACCESO_USR_FRM_ACCIONES] 0, 2006,    1002, 1, 'FO_ADMINISTRADOR';</v>
      </c>
    </row>
    <row r="85" spans="1:8" x14ac:dyDescent="0.3">
      <c r="A85" s="8">
        <f t="shared" si="11"/>
        <v>0</v>
      </c>
      <c r="B85" s="8">
        <f t="shared" si="12"/>
        <v>2006</v>
      </c>
      <c r="C85" s="8">
        <f t="shared" si="13"/>
        <v>1002</v>
      </c>
      <c r="D85" s="21">
        <v>1</v>
      </c>
      <c r="E85" s="7" t="s">
        <v>22</v>
      </c>
      <c r="F85" s="19">
        <f t="shared" si="9"/>
        <v>1</v>
      </c>
      <c r="G85" s="10" t="s">
        <v>35</v>
      </c>
      <c r="H85" s="3" t="str">
        <f t="shared" si="10"/>
        <v>EXECUTE [dbo].[PG_CI_SYS2_ACCESO_USR_FRM_ACCIONES] 0, 2006,    1002, 1, 'FO_SITIO_ADMINISTRADOR';</v>
      </c>
    </row>
    <row r="86" spans="1:8" x14ac:dyDescent="0.3">
      <c r="A86" s="8">
        <f t="shared" si="11"/>
        <v>0</v>
      </c>
      <c r="B86" s="8">
        <f t="shared" si="12"/>
        <v>2006</v>
      </c>
      <c r="C86" s="8">
        <f t="shared" si="13"/>
        <v>1002</v>
      </c>
      <c r="D86" s="19">
        <v>5</v>
      </c>
      <c r="E86" s="7" t="s">
        <v>11</v>
      </c>
      <c r="F86" s="19">
        <f t="shared" si="9"/>
        <v>1</v>
      </c>
      <c r="G86" s="10" t="s">
        <v>35</v>
      </c>
      <c r="H86" s="3" t="str">
        <f t="shared" si="10"/>
        <v>EXECUTE [dbo].[PG_CI_SYS2_ACCESO_USR_FRM_ACCIONES] 0, 2006,    1002, 5, 'FO_GENERAR_COMISION';</v>
      </c>
    </row>
    <row r="87" spans="1:8" x14ac:dyDescent="0.3">
      <c r="A87" s="8">
        <f t="shared" si="11"/>
        <v>0</v>
      </c>
      <c r="B87" s="8">
        <f t="shared" si="12"/>
        <v>2006</v>
      </c>
      <c r="C87" s="8">
        <f t="shared" si="13"/>
        <v>1002</v>
      </c>
      <c r="D87" s="8">
        <v>4</v>
      </c>
      <c r="E87" s="7" t="s">
        <v>4</v>
      </c>
      <c r="F87" s="19">
        <f t="shared" si="9"/>
        <v>1</v>
      </c>
      <c r="G87" s="10" t="s">
        <v>35</v>
      </c>
      <c r="H87" s="3" t="str">
        <f t="shared" si="10"/>
        <v>EXECUTE [dbo].[PG_CI_SYS2_ACCESO_USR_FRM_ACCIONES] 0, 2006,    1002, 4, 'FO_BITACORA_COMISION';</v>
      </c>
    </row>
    <row r="88" spans="1:8" x14ac:dyDescent="0.3">
      <c r="D88" s="11"/>
      <c r="F88" s="18"/>
      <c r="G88" s="11" t="s">
        <v>35</v>
      </c>
      <c r="H88" s="2" t="s">
        <v>32</v>
      </c>
    </row>
    <row r="89" spans="1:8" hidden="1" x14ac:dyDescent="0.3">
      <c r="A89" s="14"/>
      <c r="B89" s="15"/>
      <c r="C89" s="15"/>
      <c r="D89" s="15"/>
      <c r="E89" s="16"/>
      <c r="F89" s="15"/>
      <c r="G89" s="15"/>
      <c r="H89" s="17" t="s">
        <v>36</v>
      </c>
    </row>
    <row r="90" spans="1:8" x14ac:dyDescent="0.3">
      <c r="A90" s="8">
        <f>$A$1</f>
        <v>0</v>
      </c>
      <c r="B90" s="8">
        <f>$B$1</f>
        <v>2006</v>
      </c>
      <c r="C90" s="12">
        <v>1003</v>
      </c>
      <c r="D90" s="10">
        <v>4</v>
      </c>
      <c r="E90" s="7" t="s">
        <v>25</v>
      </c>
      <c r="F90" s="19" t="str">
        <f t="shared" ref="F90:F116" si="14">F61</f>
        <v>X</v>
      </c>
      <c r="G90" s="10" t="s">
        <v>35</v>
      </c>
      <c r="H90" s="3" t="str">
        <f t="shared" ref="H90:H116" si="15">CONCATENATE("EXECUTE [dbo].[PG_CI_SYS2_ACCESO_USR_FRM_ACCIONES] ",A90,", ",B90,",    ",C90,", ",D90,", '",E90,"';" )</f>
        <v>EXECUTE [dbo].[PG_CI_SYS2_ACCESO_USR_FRM_ACCIONES] 0, 2006,    1003, 4, 'FO_NOMBRE';</v>
      </c>
    </row>
    <row r="91" spans="1:8" x14ac:dyDescent="0.3">
      <c r="A91" s="8">
        <f t="shared" ref="A91:A116" si="16">$A$1</f>
        <v>0</v>
      </c>
      <c r="B91" s="8">
        <f>$B$1</f>
        <v>2006</v>
      </c>
      <c r="C91" s="8">
        <f>C90</f>
        <v>1003</v>
      </c>
      <c r="D91" s="8">
        <v>4</v>
      </c>
      <c r="E91" s="7" t="s">
        <v>18</v>
      </c>
      <c r="F91" s="19">
        <f t="shared" si="14"/>
        <v>0</v>
      </c>
      <c r="G91" s="10" t="s">
        <v>35</v>
      </c>
      <c r="H91" s="3" t="str">
        <f t="shared" si="15"/>
        <v>EXECUTE [dbo].[PG_CI_SYS2_ACCESO_USR_FRM_ACCIONES] 0, 2006,    1003, 4, 'FO_PRODUCTO';</v>
      </c>
    </row>
    <row r="92" spans="1:8" x14ac:dyDescent="0.3">
      <c r="A92" s="8">
        <f t="shared" si="16"/>
        <v>0</v>
      </c>
      <c r="B92" s="8">
        <f t="shared" ref="B92:B116" si="17">$B$1</f>
        <v>2006</v>
      </c>
      <c r="C92" s="8">
        <f t="shared" ref="C92:C116" si="18">C91</f>
        <v>1003</v>
      </c>
      <c r="D92" s="8">
        <v>4</v>
      </c>
      <c r="E92" s="7" t="s">
        <v>24</v>
      </c>
      <c r="F92" s="19">
        <f t="shared" si="14"/>
        <v>0</v>
      </c>
      <c r="G92" s="10" t="s">
        <v>35</v>
      </c>
      <c r="H92" s="3" t="str">
        <f t="shared" si="15"/>
        <v>EXECUTE [dbo].[PG_CI_SYS2_ACCESO_USR_FRM_ACCIONES] 0, 2006,    1003, 4, 'FO_TASA_IMPUESTO';</v>
      </c>
    </row>
    <row r="93" spans="1:8" x14ac:dyDescent="0.3">
      <c r="A93" s="8">
        <f t="shared" si="16"/>
        <v>0</v>
      </c>
      <c r="B93" s="8">
        <f t="shared" si="17"/>
        <v>2006</v>
      </c>
      <c r="C93" s="8">
        <f t="shared" si="18"/>
        <v>1003</v>
      </c>
      <c r="D93" s="21">
        <v>3</v>
      </c>
      <c r="E93" s="7" t="s">
        <v>17</v>
      </c>
      <c r="F93" s="19">
        <f t="shared" si="14"/>
        <v>1</v>
      </c>
      <c r="G93" s="10" t="s">
        <v>35</v>
      </c>
      <c r="H93" s="3" t="str">
        <f t="shared" si="15"/>
        <v>EXECUTE [dbo].[PG_CI_SYS2_ACCESO_USR_FRM_ACCIONES] 0, 2006,    1003, 3, 'FO_PRECIO';</v>
      </c>
    </row>
    <row r="94" spans="1:8" x14ac:dyDescent="0.3">
      <c r="A94" s="8">
        <f t="shared" si="16"/>
        <v>0</v>
      </c>
      <c r="B94" s="8">
        <f t="shared" si="17"/>
        <v>2006</v>
      </c>
      <c r="C94" s="8">
        <f t="shared" si="18"/>
        <v>1003</v>
      </c>
      <c r="D94" s="21">
        <v>3</v>
      </c>
      <c r="E94" s="7" t="s">
        <v>21</v>
      </c>
      <c r="F94" s="19">
        <f t="shared" si="14"/>
        <v>1</v>
      </c>
      <c r="G94" s="10" t="s">
        <v>35</v>
      </c>
      <c r="H94" s="3" t="str">
        <f t="shared" si="15"/>
        <v>EXECUTE [dbo].[PG_CI_SYS2_ACCESO_USR_FRM_ACCIONES] 0, 2006,    1003, 3, 'FO_SITIO';</v>
      </c>
    </row>
    <row r="95" spans="1:8" s="9" customFormat="1" x14ac:dyDescent="0.3">
      <c r="A95" s="8">
        <f t="shared" si="16"/>
        <v>0</v>
      </c>
      <c r="B95" s="8">
        <f t="shared" si="17"/>
        <v>2006</v>
      </c>
      <c r="C95" s="8">
        <f t="shared" si="18"/>
        <v>1003</v>
      </c>
      <c r="D95" s="21">
        <v>1</v>
      </c>
      <c r="E95" s="7" t="s">
        <v>47</v>
      </c>
      <c r="F95" s="19">
        <f t="shared" si="14"/>
        <v>1</v>
      </c>
      <c r="G95" s="10" t="s">
        <v>35</v>
      </c>
      <c r="H95" s="3" t="str">
        <f t="shared" si="15"/>
        <v>EXECUTE [dbo].[PG_CI_SYS2_ACCESO_USR_FRM_ACCIONES] 0, 2006,    1003, 1, 'FO_SITIO_CONTROL_ANUNCIO';</v>
      </c>
    </row>
    <row r="96" spans="1:8" x14ac:dyDescent="0.3">
      <c r="A96" s="8">
        <f t="shared" si="16"/>
        <v>0</v>
      </c>
      <c r="B96" s="8">
        <f t="shared" si="17"/>
        <v>2006</v>
      </c>
      <c r="C96" s="8">
        <f>C94</f>
        <v>1003</v>
      </c>
      <c r="D96" s="21">
        <v>3</v>
      </c>
      <c r="E96" s="7" t="s">
        <v>7</v>
      </c>
      <c r="F96" s="19">
        <f t="shared" si="14"/>
        <v>1</v>
      </c>
      <c r="G96" s="10" t="s">
        <v>35</v>
      </c>
      <c r="H96" s="3" t="str">
        <f t="shared" si="15"/>
        <v>EXECUTE [dbo].[PG_CI_SYS2_ACCESO_USR_FRM_ACCIONES] 0, 2006,    1003, 3, 'FO_CLIENTE';</v>
      </c>
    </row>
    <row r="97" spans="1:8" x14ac:dyDescent="0.3">
      <c r="A97" s="8">
        <f t="shared" si="16"/>
        <v>0</v>
      </c>
      <c r="B97" s="8">
        <f t="shared" si="17"/>
        <v>2006</v>
      </c>
      <c r="C97" s="8">
        <f t="shared" si="18"/>
        <v>1003</v>
      </c>
      <c r="D97" s="21">
        <v>3</v>
      </c>
      <c r="E97" s="7" t="s">
        <v>6</v>
      </c>
      <c r="F97" s="19">
        <f t="shared" si="14"/>
        <v>1</v>
      </c>
      <c r="G97" s="10" t="s">
        <v>35</v>
      </c>
      <c r="H97" s="3" t="str">
        <f t="shared" si="15"/>
        <v>EXECUTE [dbo].[PG_CI_SYS2_ACCESO_USR_FRM_ACCIONES] 0, 2006,    1003, 3, 'FO_CARGO';</v>
      </c>
    </row>
    <row r="98" spans="1:8" x14ac:dyDescent="0.3">
      <c r="A98" s="8">
        <f t="shared" si="16"/>
        <v>0</v>
      </c>
      <c r="B98" s="8">
        <f t="shared" si="17"/>
        <v>2006</v>
      </c>
      <c r="C98" s="8">
        <f t="shared" si="18"/>
        <v>1003</v>
      </c>
      <c r="D98" s="21">
        <v>3</v>
      </c>
      <c r="E98" s="7" t="s">
        <v>9</v>
      </c>
      <c r="F98" s="19">
        <f t="shared" si="14"/>
        <v>1</v>
      </c>
      <c r="G98" s="10" t="s">
        <v>35</v>
      </c>
      <c r="H98" s="3" t="str">
        <f t="shared" si="15"/>
        <v>EXECUTE [dbo].[PG_CI_SYS2_ACCESO_USR_FRM_ACCIONES] 0, 2006,    1003, 3, 'FO_CONDICION_COMERCIAL';</v>
      </c>
    </row>
    <row r="99" spans="1:8" x14ac:dyDescent="0.3">
      <c r="A99" s="8">
        <f t="shared" si="16"/>
        <v>0</v>
      </c>
      <c r="B99" s="8">
        <f t="shared" si="17"/>
        <v>2006</v>
      </c>
      <c r="C99" s="8">
        <f t="shared" si="18"/>
        <v>1003</v>
      </c>
      <c r="D99" s="19">
        <v>6</v>
      </c>
      <c r="E99" s="7" t="s">
        <v>13</v>
      </c>
      <c r="F99" s="19">
        <f t="shared" si="14"/>
        <v>1</v>
      </c>
      <c r="G99" s="10" t="s">
        <v>35</v>
      </c>
      <c r="H99" s="3" t="str">
        <f t="shared" si="15"/>
        <v>EXECUTE [dbo].[PG_CI_SYS2_ACCESO_USR_FRM_ACCIONES] 0, 2006,    1003, 6, 'FO_LECTURA';</v>
      </c>
    </row>
    <row r="100" spans="1:8" x14ac:dyDescent="0.3">
      <c r="A100" s="8">
        <f t="shared" si="16"/>
        <v>0</v>
      </c>
      <c r="B100" s="8">
        <f t="shared" si="17"/>
        <v>2006</v>
      </c>
      <c r="C100" s="8">
        <f t="shared" si="18"/>
        <v>1003</v>
      </c>
      <c r="D100" s="19">
        <v>5</v>
      </c>
      <c r="E100" s="7" t="s">
        <v>23</v>
      </c>
      <c r="F100" s="19">
        <f t="shared" si="14"/>
        <v>1</v>
      </c>
      <c r="G100" s="10" t="s">
        <v>35</v>
      </c>
      <c r="H100" s="3" t="str">
        <f t="shared" si="15"/>
        <v>EXECUTE [dbo].[PG_CI_SYS2_ACCESO_USR_FRM_ACCIONES] 0, 2006,    1003, 5, 'FO_SITIO_CONTROL_RECIBO';</v>
      </c>
    </row>
    <row r="101" spans="1:8" x14ac:dyDescent="0.3">
      <c r="A101" s="8">
        <f t="shared" si="16"/>
        <v>0</v>
      </c>
      <c r="B101" s="8">
        <f t="shared" si="17"/>
        <v>2006</v>
      </c>
      <c r="C101" s="8">
        <f t="shared" si="18"/>
        <v>1003</v>
      </c>
      <c r="D101" s="8">
        <v>4</v>
      </c>
      <c r="E101" s="7" t="s">
        <v>20</v>
      </c>
      <c r="F101" s="19">
        <f t="shared" si="14"/>
        <v>1</v>
      </c>
      <c r="G101" s="10" t="s">
        <v>35</v>
      </c>
      <c r="H101" s="3" t="str">
        <f t="shared" si="15"/>
        <v>EXECUTE [dbo].[PG_CI_SYS2_ACCESO_USR_FRM_ACCIONES] 0, 2006,    1003, 4, 'FO_RENGLON_RECIBO';</v>
      </c>
    </row>
    <row r="102" spans="1:8" x14ac:dyDescent="0.3">
      <c r="A102" s="8">
        <f t="shared" si="16"/>
        <v>0</v>
      </c>
      <c r="B102" s="8">
        <f t="shared" si="17"/>
        <v>2006</v>
      </c>
      <c r="C102" s="8">
        <f t="shared" si="18"/>
        <v>1003</v>
      </c>
      <c r="D102" s="8">
        <v>4</v>
      </c>
      <c r="E102" s="7" t="s">
        <v>19</v>
      </c>
      <c r="F102" s="19">
        <f t="shared" si="14"/>
        <v>1</v>
      </c>
      <c r="G102" s="10" t="s">
        <v>35</v>
      </c>
      <c r="H102" s="3" t="str">
        <f t="shared" si="15"/>
        <v>EXECUTE [dbo].[PG_CI_SYS2_ACCESO_USR_FRM_ACCIONES] 0, 2006,    1003, 4, 'FO_RECIBO';</v>
      </c>
    </row>
    <row r="103" spans="1:8" x14ac:dyDescent="0.3">
      <c r="A103" s="8">
        <f t="shared" si="16"/>
        <v>0</v>
      </c>
      <c r="B103" s="8">
        <f t="shared" si="17"/>
        <v>2006</v>
      </c>
      <c r="C103" s="8">
        <f t="shared" si="18"/>
        <v>1003</v>
      </c>
      <c r="D103" s="19">
        <v>5</v>
      </c>
      <c r="E103" s="7" t="s">
        <v>10</v>
      </c>
      <c r="F103" s="19">
        <f t="shared" si="14"/>
        <v>1</v>
      </c>
      <c r="G103" s="10" t="s">
        <v>35</v>
      </c>
      <c r="H103" s="3" t="str">
        <f t="shared" si="15"/>
        <v>EXECUTE [dbo].[PG_CI_SYS2_ACCESO_USR_FRM_ACCIONES] 0, 2006,    1003, 5, 'FO_GENERA_RECIBO_PDF';</v>
      </c>
    </row>
    <row r="104" spans="1:8" x14ac:dyDescent="0.3">
      <c r="A104" s="8">
        <f t="shared" si="16"/>
        <v>0</v>
      </c>
      <c r="B104" s="8">
        <f t="shared" si="17"/>
        <v>2006</v>
      </c>
      <c r="C104" s="8">
        <f t="shared" si="18"/>
        <v>1003</v>
      </c>
      <c r="D104" s="19">
        <v>5</v>
      </c>
      <c r="E104" s="7" t="s">
        <v>44</v>
      </c>
      <c r="F104" s="19">
        <f t="shared" si="14"/>
        <v>1</v>
      </c>
      <c r="G104" s="10" t="s">
        <v>35</v>
      </c>
      <c r="H104" s="3" t="str">
        <f t="shared" si="15"/>
        <v>EXECUTE [dbo].[PG_CI_SYS2_ACCESO_USR_FRM_ACCIONES] 0, 2006,    1003, 5, 'FO_GENERA_ESTADO_CUENTA_PDF';</v>
      </c>
    </row>
    <row r="105" spans="1:8" x14ac:dyDescent="0.3">
      <c r="A105" s="8">
        <f t="shared" si="16"/>
        <v>0</v>
      </c>
      <c r="B105" s="8">
        <f t="shared" si="17"/>
        <v>2006</v>
      </c>
      <c r="C105" s="8">
        <f t="shared" si="18"/>
        <v>1003</v>
      </c>
      <c r="D105" s="21">
        <v>3</v>
      </c>
      <c r="E105" s="7" t="s">
        <v>15</v>
      </c>
      <c r="F105" s="19">
        <f t="shared" si="14"/>
        <v>1</v>
      </c>
      <c r="G105" s="10" t="s">
        <v>35</v>
      </c>
      <c r="H105" s="3" t="str">
        <f t="shared" si="15"/>
        <v>EXECUTE [dbo].[PG_CI_SYS2_ACCESO_USR_FRM_ACCIONES] 0, 2006,    1003, 3, 'FO_PAGO';</v>
      </c>
    </row>
    <row r="106" spans="1:8" x14ac:dyDescent="0.3">
      <c r="A106" s="8">
        <f t="shared" si="16"/>
        <v>0</v>
      </c>
      <c r="B106" s="8">
        <f t="shared" si="17"/>
        <v>2006</v>
      </c>
      <c r="C106" s="8">
        <f t="shared" si="18"/>
        <v>1003</v>
      </c>
      <c r="D106" s="19">
        <v>5</v>
      </c>
      <c r="E106" s="7" t="s">
        <v>3</v>
      </c>
      <c r="F106" s="19">
        <f t="shared" si="14"/>
        <v>1</v>
      </c>
      <c r="G106" s="10" t="s">
        <v>35</v>
      </c>
      <c r="H106" s="3" t="str">
        <f t="shared" si="15"/>
        <v>EXECUTE [dbo].[PG_CI_SYS2_ACCESO_USR_FRM_ACCIONES] 0, 2006,    1003, 5, 'FO_APLICAR_PAGO_CLIENTE';</v>
      </c>
    </row>
    <row r="107" spans="1:8" x14ac:dyDescent="0.3">
      <c r="A107" s="8">
        <f t="shared" si="16"/>
        <v>0</v>
      </c>
      <c r="B107" s="8">
        <f t="shared" si="17"/>
        <v>2006</v>
      </c>
      <c r="C107" s="8">
        <f t="shared" si="18"/>
        <v>1003</v>
      </c>
      <c r="D107" s="8">
        <v>4</v>
      </c>
      <c r="E107" s="7" t="s">
        <v>16</v>
      </c>
      <c r="F107" s="19">
        <f t="shared" si="14"/>
        <v>1</v>
      </c>
      <c r="G107" s="10" t="s">
        <v>35</v>
      </c>
      <c r="H107" s="3" t="str">
        <f t="shared" si="15"/>
        <v>EXECUTE [dbo].[PG_CI_SYS2_ACCESO_USR_FRM_ACCIONES] 0, 2006,    1003, 4, 'FO_PAGO_RECIBO';</v>
      </c>
    </row>
    <row r="108" spans="1:8" x14ac:dyDescent="0.3">
      <c r="A108" s="8">
        <f t="shared" si="16"/>
        <v>0</v>
      </c>
      <c r="B108" s="8">
        <f t="shared" si="17"/>
        <v>2006</v>
      </c>
      <c r="C108" s="8">
        <f t="shared" si="18"/>
        <v>1003</v>
      </c>
      <c r="D108" s="19">
        <v>5</v>
      </c>
      <c r="E108" s="7" t="s">
        <v>8</v>
      </c>
      <c r="F108" s="19">
        <f t="shared" si="14"/>
        <v>1</v>
      </c>
      <c r="G108" s="10" t="s">
        <v>35</v>
      </c>
      <c r="H108" s="3" t="str">
        <f t="shared" si="15"/>
        <v>EXECUTE [dbo].[PG_CI_SYS2_ACCESO_USR_FRM_ACCIONES] 0, 2006,    1003, 5, 'FO_CLIENTE_DESCONEXION_RECONEXION';</v>
      </c>
    </row>
    <row r="109" spans="1:8" x14ac:dyDescent="0.3">
      <c r="A109" s="8">
        <f t="shared" si="16"/>
        <v>0</v>
      </c>
      <c r="B109" s="8">
        <f t="shared" si="17"/>
        <v>2006</v>
      </c>
      <c r="C109" s="8">
        <f t="shared" si="18"/>
        <v>1003</v>
      </c>
      <c r="D109" s="8">
        <v>4</v>
      </c>
      <c r="E109" s="7" t="s">
        <v>5</v>
      </c>
      <c r="F109" s="19">
        <f t="shared" si="14"/>
        <v>1</v>
      </c>
      <c r="G109" s="10" t="s">
        <v>35</v>
      </c>
      <c r="H109" s="3" t="str">
        <f t="shared" si="15"/>
        <v>EXECUTE [dbo].[PG_CI_SYS2_ACCESO_USR_FRM_ACCIONES] 0, 2006,    1003, 4, 'FO_BITACORA_DESCONEXION_RECONEXION';</v>
      </c>
    </row>
    <row r="110" spans="1:8" x14ac:dyDescent="0.3">
      <c r="A110" s="8">
        <f t="shared" si="16"/>
        <v>0</v>
      </c>
      <c r="B110" s="8">
        <f t="shared" si="17"/>
        <v>2006</v>
      </c>
      <c r="C110" s="8">
        <f t="shared" si="18"/>
        <v>1003</v>
      </c>
      <c r="D110" s="21">
        <v>3</v>
      </c>
      <c r="E110" s="7" t="s">
        <v>2</v>
      </c>
      <c r="F110" s="19">
        <f t="shared" si="14"/>
        <v>1</v>
      </c>
      <c r="G110" s="10" t="s">
        <v>35</v>
      </c>
      <c r="H110" s="3" t="str">
        <f t="shared" si="15"/>
        <v>EXECUTE [dbo].[PG_CI_SYS2_ACCESO_USR_FRM_ACCIONES] 0, 2006,    1003, 3, 'FO_ALMACEN_SITIO';</v>
      </c>
    </row>
    <row r="111" spans="1:8" x14ac:dyDescent="0.3">
      <c r="A111" s="8">
        <f t="shared" si="16"/>
        <v>0</v>
      </c>
      <c r="B111" s="8">
        <f t="shared" si="17"/>
        <v>2006</v>
      </c>
      <c r="C111" s="8">
        <f t="shared" si="18"/>
        <v>1003</v>
      </c>
      <c r="D111" s="21">
        <v>3</v>
      </c>
      <c r="E111" s="7" t="s">
        <v>14</v>
      </c>
      <c r="F111" s="19">
        <f t="shared" si="14"/>
        <v>1</v>
      </c>
      <c r="G111" s="10" t="s">
        <v>35</v>
      </c>
      <c r="H111" s="3" t="str">
        <f t="shared" si="15"/>
        <v>EXECUTE [dbo].[PG_CI_SYS2_ACCESO_USR_FRM_ACCIONES] 0, 2006,    1003, 3, 'FO_MOVIMIENTO_ALMACEN';</v>
      </c>
    </row>
    <row r="112" spans="1:8" x14ac:dyDescent="0.3">
      <c r="A112" s="8">
        <f t="shared" si="16"/>
        <v>0</v>
      </c>
      <c r="B112" s="8">
        <f t="shared" si="17"/>
        <v>2006</v>
      </c>
      <c r="C112" s="8">
        <f t="shared" si="18"/>
        <v>1003</v>
      </c>
      <c r="D112" s="8">
        <v>4</v>
      </c>
      <c r="E112" s="7" t="s">
        <v>12</v>
      </c>
      <c r="F112" s="19">
        <f t="shared" si="14"/>
        <v>1</v>
      </c>
      <c r="G112" s="10" t="s">
        <v>35</v>
      </c>
      <c r="H112" s="3" t="str">
        <f t="shared" si="15"/>
        <v>EXECUTE [dbo].[PG_CI_SYS2_ACCESO_USR_FRM_ACCIONES] 0, 2006,    1003, 4, 'FO_HISTORIA_ALMACEN';</v>
      </c>
    </row>
    <row r="113" spans="1:8" x14ac:dyDescent="0.3">
      <c r="A113" s="8">
        <f t="shared" si="16"/>
        <v>0</v>
      </c>
      <c r="B113" s="8">
        <f t="shared" si="17"/>
        <v>2006</v>
      </c>
      <c r="C113" s="8">
        <f t="shared" si="18"/>
        <v>1003</v>
      </c>
      <c r="D113" s="21">
        <v>3</v>
      </c>
      <c r="E113" s="7" t="s">
        <v>1</v>
      </c>
      <c r="F113" s="19">
        <f t="shared" si="14"/>
        <v>1</v>
      </c>
      <c r="G113" s="10" t="s">
        <v>35</v>
      </c>
      <c r="H113" s="3" t="str">
        <f t="shared" si="15"/>
        <v>EXECUTE [dbo].[PG_CI_SYS2_ACCESO_USR_FRM_ACCIONES] 0, 2006,    1003, 3, 'FO_ADMINISTRADOR';</v>
      </c>
    </row>
    <row r="114" spans="1:8" x14ac:dyDescent="0.3">
      <c r="A114" s="8">
        <f t="shared" si="16"/>
        <v>0</v>
      </c>
      <c r="B114" s="8">
        <f t="shared" si="17"/>
        <v>2006</v>
      </c>
      <c r="C114" s="8">
        <f t="shared" si="18"/>
        <v>1003</v>
      </c>
      <c r="D114" s="21">
        <v>3</v>
      </c>
      <c r="E114" s="7" t="s">
        <v>22</v>
      </c>
      <c r="F114" s="19">
        <f t="shared" si="14"/>
        <v>1</v>
      </c>
      <c r="G114" s="10" t="s">
        <v>35</v>
      </c>
      <c r="H114" s="3" t="str">
        <f t="shared" si="15"/>
        <v>EXECUTE [dbo].[PG_CI_SYS2_ACCESO_USR_FRM_ACCIONES] 0, 2006,    1003, 3, 'FO_SITIO_ADMINISTRADOR';</v>
      </c>
    </row>
    <row r="115" spans="1:8" x14ac:dyDescent="0.3">
      <c r="A115" s="8">
        <f t="shared" si="16"/>
        <v>0</v>
      </c>
      <c r="B115" s="8">
        <f t="shared" si="17"/>
        <v>2006</v>
      </c>
      <c r="C115" s="8">
        <f t="shared" si="18"/>
        <v>1003</v>
      </c>
      <c r="D115" s="19">
        <v>5</v>
      </c>
      <c r="E115" s="7" t="s">
        <v>11</v>
      </c>
      <c r="F115" s="19">
        <f t="shared" si="14"/>
        <v>1</v>
      </c>
      <c r="G115" s="10" t="s">
        <v>35</v>
      </c>
      <c r="H115" s="3" t="str">
        <f t="shared" si="15"/>
        <v>EXECUTE [dbo].[PG_CI_SYS2_ACCESO_USR_FRM_ACCIONES] 0, 2006,    1003, 5, 'FO_GENERAR_COMISION';</v>
      </c>
    </row>
    <row r="116" spans="1:8" x14ac:dyDescent="0.3">
      <c r="A116" s="8">
        <f t="shared" si="16"/>
        <v>0</v>
      </c>
      <c r="B116" s="8">
        <f t="shared" si="17"/>
        <v>2006</v>
      </c>
      <c r="C116" s="8">
        <f t="shared" si="18"/>
        <v>1003</v>
      </c>
      <c r="D116" s="8">
        <v>4</v>
      </c>
      <c r="E116" s="7" t="s">
        <v>4</v>
      </c>
      <c r="F116" s="19">
        <f t="shared" si="14"/>
        <v>1</v>
      </c>
      <c r="G116" s="10" t="s">
        <v>35</v>
      </c>
      <c r="H116" s="3" t="str">
        <f t="shared" si="15"/>
        <v>EXECUTE [dbo].[PG_CI_SYS2_ACCESO_USR_FRM_ACCIONES] 0, 2006,    1003, 4, 'FO_BITACORA_COMISION';</v>
      </c>
    </row>
    <row r="117" spans="1:8" x14ac:dyDescent="0.3">
      <c r="D117" s="11"/>
      <c r="G117" s="11" t="s">
        <v>35</v>
      </c>
      <c r="H117" s="2" t="s">
        <v>32</v>
      </c>
    </row>
    <row r="118" spans="1:8" s="9" customFormat="1" hidden="1" x14ac:dyDescent="0.3">
      <c r="A118" s="14"/>
      <c r="B118" s="15"/>
      <c r="C118" s="15"/>
      <c r="D118" s="15"/>
      <c r="E118" s="16"/>
      <c r="F118" s="15"/>
      <c r="G118" s="15"/>
      <c r="H118" s="17" t="s">
        <v>46</v>
      </c>
    </row>
    <row r="119" spans="1:8" s="9" customFormat="1" x14ac:dyDescent="0.3">
      <c r="A119" s="8">
        <f>$A$1</f>
        <v>0</v>
      </c>
      <c r="B119" s="8">
        <f>$B$1</f>
        <v>2006</v>
      </c>
      <c r="C119" s="12">
        <v>1004</v>
      </c>
      <c r="D119" s="10">
        <v>4</v>
      </c>
      <c r="E119" s="7" t="s">
        <v>25</v>
      </c>
      <c r="F119" s="19" t="str">
        <f t="shared" ref="F119:F145" si="19">F90</f>
        <v>X</v>
      </c>
      <c r="G119" s="10" t="s">
        <v>35</v>
      </c>
      <c r="H119" s="3" t="str">
        <f t="shared" ref="H119:H145" si="20">CONCATENATE("EXECUTE [dbo].[PG_CI_SYS2_ACCESO_USR_FRM_ACCIONES] ",A119,", ",B119,",    ",C119,", ",D119,", '",E119,"';" )</f>
        <v>EXECUTE [dbo].[PG_CI_SYS2_ACCESO_USR_FRM_ACCIONES] 0, 2006,    1004, 4, 'FO_NOMBRE';</v>
      </c>
    </row>
    <row r="120" spans="1:8" s="9" customFormat="1" x14ac:dyDescent="0.3">
      <c r="A120" s="8">
        <f t="shared" ref="A120:A145" si="21">$A$1</f>
        <v>0</v>
      </c>
      <c r="B120" s="8">
        <f>$B$1</f>
        <v>2006</v>
      </c>
      <c r="C120" s="8">
        <f>C119</f>
        <v>1004</v>
      </c>
      <c r="D120" s="8">
        <v>4</v>
      </c>
      <c r="E120" s="7" t="s">
        <v>18</v>
      </c>
      <c r="F120" s="19">
        <f t="shared" si="19"/>
        <v>0</v>
      </c>
      <c r="G120" s="10" t="s">
        <v>35</v>
      </c>
      <c r="H120" s="3" t="str">
        <f t="shared" si="20"/>
        <v>EXECUTE [dbo].[PG_CI_SYS2_ACCESO_USR_FRM_ACCIONES] 0, 2006,    1004, 4, 'FO_PRODUCTO';</v>
      </c>
    </row>
    <row r="121" spans="1:8" s="9" customFormat="1" x14ac:dyDescent="0.3">
      <c r="A121" s="8">
        <f t="shared" si="21"/>
        <v>0</v>
      </c>
      <c r="B121" s="8">
        <f t="shared" ref="B121:B145" si="22">$B$1</f>
        <v>2006</v>
      </c>
      <c r="C121" s="8">
        <f t="shared" ref="C121:C145" si="23">C120</f>
        <v>1004</v>
      </c>
      <c r="D121" s="8">
        <v>4</v>
      </c>
      <c r="E121" s="7" t="s">
        <v>24</v>
      </c>
      <c r="F121" s="19">
        <f t="shared" si="19"/>
        <v>0</v>
      </c>
      <c r="G121" s="10" t="s">
        <v>35</v>
      </c>
      <c r="H121" s="3" t="str">
        <f t="shared" si="20"/>
        <v>EXECUTE [dbo].[PG_CI_SYS2_ACCESO_USR_FRM_ACCIONES] 0, 2006,    1004, 4, 'FO_TASA_IMPUESTO';</v>
      </c>
    </row>
    <row r="122" spans="1:8" s="9" customFormat="1" x14ac:dyDescent="0.3">
      <c r="A122" s="8">
        <f t="shared" si="21"/>
        <v>0</v>
      </c>
      <c r="B122" s="8">
        <f t="shared" si="22"/>
        <v>2006</v>
      </c>
      <c r="C122" s="8">
        <f t="shared" si="23"/>
        <v>1004</v>
      </c>
      <c r="D122" s="21">
        <v>3</v>
      </c>
      <c r="E122" s="7" t="s">
        <v>17</v>
      </c>
      <c r="F122" s="19">
        <f t="shared" si="19"/>
        <v>1</v>
      </c>
      <c r="G122" s="10" t="s">
        <v>35</v>
      </c>
      <c r="H122" s="3" t="str">
        <f t="shared" si="20"/>
        <v>EXECUTE [dbo].[PG_CI_SYS2_ACCESO_USR_FRM_ACCIONES] 0, 2006,    1004, 3, 'FO_PRECIO';</v>
      </c>
    </row>
    <row r="123" spans="1:8" s="9" customFormat="1" x14ac:dyDescent="0.3">
      <c r="A123" s="8">
        <f t="shared" si="21"/>
        <v>0</v>
      </c>
      <c r="B123" s="8">
        <f t="shared" si="22"/>
        <v>2006</v>
      </c>
      <c r="C123" s="8">
        <f t="shared" si="23"/>
        <v>1004</v>
      </c>
      <c r="D123" s="21">
        <v>3</v>
      </c>
      <c r="E123" s="7" t="s">
        <v>21</v>
      </c>
      <c r="F123" s="19">
        <f t="shared" si="19"/>
        <v>1</v>
      </c>
      <c r="G123" s="10" t="s">
        <v>35</v>
      </c>
      <c r="H123" s="3" t="str">
        <f t="shared" si="20"/>
        <v>EXECUTE [dbo].[PG_CI_SYS2_ACCESO_USR_FRM_ACCIONES] 0, 2006,    1004, 3, 'FO_SITIO';</v>
      </c>
    </row>
    <row r="124" spans="1:8" s="9" customFormat="1" x14ac:dyDescent="0.3">
      <c r="A124" s="8">
        <f t="shared" si="21"/>
        <v>0</v>
      </c>
      <c r="B124" s="8">
        <f t="shared" si="22"/>
        <v>2006</v>
      </c>
      <c r="C124" s="8">
        <f t="shared" si="23"/>
        <v>1004</v>
      </c>
      <c r="D124" s="21">
        <v>1</v>
      </c>
      <c r="E124" s="7" t="s">
        <v>47</v>
      </c>
      <c r="F124" s="19">
        <f t="shared" si="19"/>
        <v>1</v>
      </c>
      <c r="G124" s="10" t="s">
        <v>35</v>
      </c>
      <c r="H124" s="3" t="str">
        <f t="shared" si="20"/>
        <v>EXECUTE [dbo].[PG_CI_SYS2_ACCESO_USR_FRM_ACCIONES] 0, 2006,    1004, 1, 'FO_SITIO_CONTROL_ANUNCIO';</v>
      </c>
    </row>
    <row r="125" spans="1:8" s="9" customFormat="1" x14ac:dyDescent="0.3">
      <c r="A125" s="8">
        <f t="shared" si="21"/>
        <v>0</v>
      </c>
      <c r="B125" s="8">
        <f t="shared" si="22"/>
        <v>2006</v>
      </c>
      <c r="C125" s="8">
        <f t="shared" si="23"/>
        <v>1004</v>
      </c>
      <c r="D125" s="21">
        <v>3</v>
      </c>
      <c r="E125" s="7" t="s">
        <v>7</v>
      </c>
      <c r="F125" s="19">
        <f t="shared" si="19"/>
        <v>1</v>
      </c>
      <c r="G125" s="10" t="s">
        <v>35</v>
      </c>
      <c r="H125" s="3" t="str">
        <f t="shared" si="20"/>
        <v>EXECUTE [dbo].[PG_CI_SYS2_ACCESO_USR_FRM_ACCIONES] 0, 2006,    1004, 3, 'FO_CLIENTE';</v>
      </c>
    </row>
    <row r="126" spans="1:8" s="9" customFormat="1" x14ac:dyDescent="0.3">
      <c r="A126" s="8">
        <f t="shared" si="21"/>
        <v>0</v>
      </c>
      <c r="B126" s="8">
        <f t="shared" si="22"/>
        <v>2006</v>
      </c>
      <c r="C126" s="8">
        <f t="shared" si="23"/>
        <v>1004</v>
      </c>
      <c r="D126" s="21">
        <v>3</v>
      </c>
      <c r="E126" s="7" t="s">
        <v>6</v>
      </c>
      <c r="F126" s="19">
        <f t="shared" si="19"/>
        <v>1</v>
      </c>
      <c r="G126" s="10" t="s">
        <v>35</v>
      </c>
      <c r="H126" s="3" t="str">
        <f t="shared" si="20"/>
        <v>EXECUTE [dbo].[PG_CI_SYS2_ACCESO_USR_FRM_ACCIONES] 0, 2006,    1004, 3, 'FO_CARGO';</v>
      </c>
    </row>
    <row r="127" spans="1:8" s="9" customFormat="1" x14ac:dyDescent="0.3">
      <c r="A127" s="8">
        <f t="shared" si="21"/>
        <v>0</v>
      </c>
      <c r="B127" s="8">
        <f t="shared" si="22"/>
        <v>2006</v>
      </c>
      <c r="C127" s="8">
        <f t="shared" si="23"/>
        <v>1004</v>
      </c>
      <c r="D127" s="21">
        <v>3</v>
      </c>
      <c r="E127" s="7" t="s">
        <v>9</v>
      </c>
      <c r="F127" s="19">
        <f t="shared" si="19"/>
        <v>1</v>
      </c>
      <c r="G127" s="10" t="s">
        <v>35</v>
      </c>
      <c r="H127" s="3" t="str">
        <f t="shared" si="20"/>
        <v>EXECUTE [dbo].[PG_CI_SYS2_ACCESO_USR_FRM_ACCIONES] 0, 2006,    1004, 3, 'FO_CONDICION_COMERCIAL';</v>
      </c>
    </row>
    <row r="128" spans="1:8" s="9" customFormat="1" x14ac:dyDescent="0.3">
      <c r="A128" s="8">
        <f t="shared" si="21"/>
        <v>0</v>
      </c>
      <c r="B128" s="8">
        <f t="shared" si="22"/>
        <v>2006</v>
      </c>
      <c r="C128" s="8">
        <f t="shared" si="23"/>
        <v>1004</v>
      </c>
      <c r="D128" s="19">
        <v>6</v>
      </c>
      <c r="E128" s="7" t="s">
        <v>13</v>
      </c>
      <c r="F128" s="19">
        <f t="shared" si="19"/>
        <v>1</v>
      </c>
      <c r="G128" s="10" t="s">
        <v>35</v>
      </c>
      <c r="H128" s="3" t="str">
        <f t="shared" si="20"/>
        <v>EXECUTE [dbo].[PG_CI_SYS2_ACCESO_USR_FRM_ACCIONES] 0, 2006,    1004, 6, 'FO_LECTURA';</v>
      </c>
    </row>
    <row r="129" spans="1:8" s="9" customFormat="1" x14ac:dyDescent="0.3">
      <c r="A129" s="8">
        <f t="shared" si="21"/>
        <v>0</v>
      </c>
      <c r="B129" s="8">
        <f t="shared" si="22"/>
        <v>2006</v>
      </c>
      <c r="C129" s="8">
        <f t="shared" si="23"/>
        <v>1004</v>
      </c>
      <c r="D129" s="19">
        <v>5</v>
      </c>
      <c r="E129" s="7" t="s">
        <v>23</v>
      </c>
      <c r="F129" s="19">
        <f t="shared" si="19"/>
        <v>1</v>
      </c>
      <c r="G129" s="10" t="s">
        <v>35</v>
      </c>
      <c r="H129" s="3" t="str">
        <f t="shared" si="20"/>
        <v>EXECUTE [dbo].[PG_CI_SYS2_ACCESO_USR_FRM_ACCIONES] 0, 2006,    1004, 5, 'FO_SITIO_CONTROL_RECIBO';</v>
      </c>
    </row>
    <row r="130" spans="1:8" s="9" customFormat="1" x14ac:dyDescent="0.3">
      <c r="A130" s="8">
        <f t="shared" si="21"/>
        <v>0</v>
      </c>
      <c r="B130" s="8">
        <f t="shared" si="22"/>
        <v>2006</v>
      </c>
      <c r="C130" s="8">
        <f t="shared" si="23"/>
        <v>1004</v>
      </c>
      <c r="D130" s="8">
        <v>4</v>
      </c>
      <c r="E130" s="7" t="s">
        <v>20</v>
      </c>
      <c r="F130" s="19">
        <f t="shared" si="19"/>
        <v>1</v>
      </c>
      <c r="G130" s="10" t="s">
        <v>35</v>
      </c>
      <c r="H130" s="3" t="str">
        <f t="shared" si="20"/>
        <v>EXECUTE [dbo].[PG_CI_SYS2_ACCESO_USR_FRM_ACCIONES] 0, 2006,    1004, 4, 'FO_RENGLON_RECIBO';</v>
      </c>
    </row>
    <row r="131" spans="1:8" s="9" customFormat="1" x14ac:dyDescent="0.3">
      <c r="A131" s="8">
        <f t="shared" si="21"/>
        <v>0</v>
      </c>
      <c r="B131" s="8">
        <f t="shared" si="22"/>
        <v>2006</v>
      </c>
      <c r="C131" s="8">
        <f t="shared" si="23"/>
        <v>1004</v>
      </c>
      <c r="D131" s="8">
        <v>4</v>
      </c>
      <c r="E131" s="7" t="s">
        <v>19</v>
      </c>
      <c r="F131" s="19">
        <f t="shared" si="19"/>
        <v>1</v>
      </c>
      <c r="G131" s="10" t="s">
        <v>35</v>
      </c>
      <c r="H131" s="3" t="str">
        <f t="shared" si="20"/>
        <v>EXECUTE [dbo].[PG_CI_SYS2_ACCESO_USR_FRM_ACCIONES] 0, 2006,    1004, 4, 'FO_RECIBO';</v>
      </c>
    </row>
    <row r="132" spans="1:8" s="9" customFormat="1" x14ac:dyDescent="0.3">
      <c r="A132" s="8">
        <f t="shared" si="21"/>
        <v>0</v>
      </c>
      <c r="B132" s="8">
        <f t="shared" si="22"/>
        <v>2006</v>
      </c>
      <c r="C132" s="8">
        <f t="shared" si="23"/>
        <v>1004</v>
      </c>
      <c r="D132" s="19">
        <v>5</v>
      </c>
      <c r="E132" s="7" t="s">
        <v>10</v>
      </c>
      <c r="F132" s="19">
        <f t="shared" si="19"/>
        <v>1</v>
      </c>
      <c r="G132" s="10" t="s">
        <v>35</v>
      </c>
      <c r="H132" s="3" t="str">
        <f t="shared" si="20"/>
        <v>EXECUTE [dbo].[PG_CI_SYS2_ACCESO_USR_FRM_ACCIONES] 0, 2006,    1004, 5, 'FO_GENERA_RECIBO_PDF';</v>
      </c>
    </row>
    <row r="133" spans="1:8" s="9" customFormat="1" x14ac:dyDescent="0.3">
      <c r="A133" s="8">
        <f t="shared" si="21"/>
        <v>0</v>
      </c>
      <c r="B133" s="8">
        <f t="shared" si="22"/>
        <v>2006</v>
      </c>
      <c r="C133" s="8">
        <f t="shared" si="23"/>
        <v>1004</v>
      </c>
      <c r="D133" s="19">
        <v>5</v>
      </c>
      <c r="E133" s="7" t="s">
        <v>44</v>
      </c>
      <c r="F133" s="19">
        <f t="shared" si="19"/>
        <v>1</v>
      </c>
      <c r="G133" s="10" t="s">
        <v>35</v>
      </c>
      <c r="H133" s="3" t="str">
        <f t="shared" si="20"/>
        <v>EXECUTE [dbo].[PG_CI_SYS2_ACCESO_USR_FRM_ACCIONES] 0, 2006,    1004, 5, 'FO_GENERA_ESTADO_CUENTA_PDF';</v>
      </c>
    </row>
    <row r="134" spans="1:8" s="9" customFormat="1" x14ac:dyDescent="0.3">
      <c r="A134" s="8">
        <f t="shared" si="21"/>
        <v>0</v>
      </c>
      <c r="B134" s="8">
        <f t="shared" si="22"/>
        <v>2006</v>
      </c>
      <c r="C134" s="8">
        <f t="shared" si="23"/>
        <v>1004</v>
      </c>
      <c r="D134" s="21">
        <v>3</v>
      </c>
      <c r="E134" s="7" t="s">
        <v>15</v>
      </c>
      <c r="F134" s="19">
        <f t="shared" si="19"/>
        <v>1</v>
      </c>
      <c r="G134" s="10" t="s">
        <v>35</v>
      </c>
      <c r="H134" s="3" t="str">
        <f t="shared" si="20"/>
        <v>EXECUTE [dbo].[PG_CI_SYS2_ACCESO_USR_FRM_ACCIONES] 0, 2006,    1004, 3, 'FO_PAGO';</v>
      </c>
    </row>
    <row r="135" spans="1:8" s="9" customFormat="1" x14ac:dyDescent="0.3">
      <c r="A135" s="8">
        <f t="shared" si="21"/>
        <v>0</v>
      </c>
      <c r="B135" s="8">
        <f t="shared" si="22"/>
        <v>2006</v>
      </c>
      <c r="C135" s="8">
        <f t="shared" si="23"/>
        <v>1004</v>
      </c>
      <c r="D135" s="19">
        <v>5</v>
      </c>
      <c r="E135" s="7" t="s">
        <v>3</v>
      </c>
      <c r="F135" s="19">
        <f t="shared" si="19"/>
        <v>1</v>
      </c>
      <c r="G135" s="10" t="s">
        <v>35</v>
      </c>
      <c r="H135" s="3" t="str">
        <f t="shared" si="20"/>
        <v>EXECUTE [dbo].[PG_CI_SYS2_ACCESO_USR_FRM_ACCIONES] 0, 2006,    1004, 5, 'FO_APLICAR_PAGO_CLIENTE';</v>
      </c>
    </row>
    <row r="136" spans="1:8" s="9" customFormat="1" x14ac:dyDescent="0.3">
      <c r="A136" s="8">
        <f t="shared" si="21"/>
        <v>0</v>
      </c>
      <c r="B136" s="8">
        <f t="shared" si="22"/>
        <v>2006</v>
      </c>
      <c r="C136" s="8">
        <f t="shared" si="23"/>
        <v>1004</v>
      </c>
      <c r="D136" s="8">
        <v>4</v>
      </c>
      <c r="E136" s="7" t="s">
        <v>16</v>
      </c>
      <c r="F136" s="19">
        <f t="shared" si="19"/>
        <v>1</v>
      </c>
      <c r="G136" s="10" t="s">
        <v>35</v>
      </c>
      <c r="H136" s="3" t="str">
        <f t="shared" si="20"/>
        <v>EXECUTE [dbo].[PG_CI_SYS2_ACCESO_USR_FRM_ACCIONES] 0, 2006,    1004, 4, 'FO_PAGO_RECIBO';</v>
      </c>
    </row>
    <row r="137" spans="1:8" s="9" customFormat="1" x14ac:dyDescent="0.3">
      <c r="A137" s="8">
        <f t="shared" si="21"/>
        <v>0</v>
      </c>
      <c r="B137" s="8">
        <f t="shared" si="22"/>
        <v>2006</v>
      </c>
      <c r="C137" s="8">
        <f t="shared" si="23"/>
        <v>1004</v>
      </c>
      <c r="D137" s="19">
        <v>5</v>
      </c>
      <c r="E137" s="7" t="s">
        <v>8</v>
      </c>
      <c r="F137" s="19">
        <f t="shared" si="19"/>
        <v>1</v>
      </c>
      <c r="G137" s="10" t="s">
        <v>35</v>
      </c>
      <c r="H137" s="3" t="str">
        <f t="shared" si="20"/>
        <v>EXECUTE [dbo].[PG_CI_SYS2_ACCESO_USR_FRM_ACCIONES] 0, 2006,    1004, 5, 'FO_CLIENTE_DESCONEXION_RECONEXION';</v>
      </c>
    </row>
    <row r="138" spans="1:8" s="9" customFormat="1" x14ac:dyDescent="0.3">
      <c r="A138" s="8">
        <f t="shared" si="21"/>
        <v>0</v>
      </c>
      <c r="B138" s="8">
        <f t="shared" si="22"/>
        <v>2006</v>
      </c>
      <c r="C138" s="8">
        <f t="shared" si="23"/>
        <v>1004</v>
      </c>
      <c r="D138" s="8">
        <v>4</v>
      </c>
      <c r="E138" s="7" t="s">
        <v>5</v>
      </c>
      <c r="F138" s="19">
        <f t="shared" si="19"/>
        <v>1</v>
      </c>
      <c r="G138" s="10" t="s">
        <v>35</v>
      </c>
      <c r="H138" s="3" t="str">
        <f t="shared" si="20"/>
        <v>EXECUTE [dbo].[PG_CI_SYS2_ACCESO_USR_FRM_ACCIONES] 0, 2006,    1004, 4, 'FO_BITACORA_DESCONEXION_RECONEXION';</v>
      </c>
    </row>
    <row r="139" spans="1:8" s="9" customFormat="1" x14ac:dyDescent="0.3">
      <c r="A139" s="8">
        <f t="shared" si="21"/>
        <v>0</v>
      </c>
      <c r="B139" s="8">
        <f t="shared" si="22"/>
        <v>2006</v>
      </c>
      <c r="C139" s="8">
        <f t="shared" si="23"/>
        <v>1004</v>
      </c>
      <c r="D139" s="21">
        <v>3</v>
      </c>
      <c r="E139" s="7" t="s">
        <v>2</v>
      </c>
      <c r="F139" s="19">
        <f t="shared" si="19"/>
        <v>1</v>
      </c>
      <c r="G139" s="10" t="s">
        <v>35</v>
      </c>
      <c r="H139" s="3" t="str">
        <f t="shared" si="20"/>
        <v>EXECUTE [dbo].[PG_CI_SYS2_ACCESO_USR_FRM_ACCIONES] 0, 2006,    1004, 3, 'FO_ALMACEN_SITIO';</v>
      </c>
    </row>
    <row r="140" spans="1:8" s="9" customFormat="1" x14ac:dyDescent="0.3">
      <c r="A140" s="8">
        <f t="shared" si="21"/>
        <v>0</v>
      </c>
      <c r="B140" s="8">
        <f t="shared" si="22"/>
        <v>2006</v>
      </c>
      <c r="C140" s="8">
        <f t="shared" si="23"/>
        <v>1004</v>
      </c>
      <c r="D140" s="21">
        <v>3</v>
      </c>
      <c r="E140" s="7" t="s">
        <v>14</v>
      </c>
      <c r="F140" s="19">
        <f t="shared" si="19"/>
        <v>1</v>
      </c>
      <c r="G140" s="10" t="s">
        <v>35</v>
      </c>
      <c r="H140" s="3" t="str">
        <f t="shared" si="20"/>
        <v>EXECUTE [dbo].[PG_CI_SYS2_ACCESO_USR_FRM_ACCIONES] 0, 2006,    1004, 3, 'FO_MOVIMIENTO_ALMACEN';</v>
      </c>
    </row>
    <row r="141" spans="1:8" s="9" customFormat="1" x14ac:dyDescent="0.3">
      <c r="A141" s="8">
        <f t="shared" si="21"/>
        <v>0</v>
      </c>
      <c r="B141" s="8">
        <f t="shared" si="22"/>
        <v>2006</v>
      </c>
      <c r="C141" s="8">
        <f t="shared" si="23"/>
        <v>1004</v>
      </c>
      <c r="D141" s="8">
        <v>4</v>
      </c>
      <c r="E141" s="7" t="s">
        <v>12</v>
      </c>
      <c r="F141" s="19">
        <f t="shared" si="19"/>
        <v>1</v>
      </c>
      <c r="G141" s="10" t="s">
        <v>35</v>
      </c>
      <c r="H141" s="3" t="str">
        <f t="shared" si="20"/>
        <v>EXECUTE [dbo].[PG_CI_SYS2_ACCESO_USR_FRM_ACCIONES] 0, 2006,    1004, 4, 'FO_HISTORIA_ALMACEN';</v>
      </c>
    </row>
    <row r="142" spans="1:8" s="9" customFormat="1" x14ac:dyDescent="0.3">
      <c r="A142" s="8">
        <f t="shared" si="21"/>
        <v>0</v>
      </c>
      <c r="B142" s="8">
        <f t="shared" si="22"/>
        <v>2006</v>
      </c>
      <c r="C142" s="8">
        <f t="shared" si="23"/>
        <v>1004</v>
      </c>
      <c r="D142" s="21">
        <v>3</v>
      </c>
      <c r="E142" s="7" t="s">
        <v>1</v>
      </c>
      <c r="F142" s="19">
        <f t="shared" si="19"/>
        <v>1</v>
      </c>
      <c r="G142" s="10" t="s">
        <v>35</v>
      </c>
      <c r="H142" s="3" t="str">
        <f t="shared" si="20"/>
        <v>EXECUTE [dbo].[PG_CI_SYS2_ACCESO_USR_FRM_ACCIONES] 0, 2006,    1004, 3, 'FO_ADMINISTRADOR';</v>
      </c>
    </row>
    <row r="143" spans="1:8" s="9" customFormat="1" x14ac:dyDescent="0.3">
      <c r="A143" s="8">
        <f t="shared" si="21"/>
        <v>0</v>
      </c>
      <c r="B143" s="8">
        <f t="shared" si="22"/>
        <v>2006</v>
      </c>
      <c r="C143" s="8">
        <f t="shared" si="23"/>
        <v>1004</v>
      </c>
      <c r="D143" s="21">
        <v>3</v>
      </c>
      <c r="E143" s="7" t="s">
        <v>22</v>
      </c>
      <c r="F143" s="19">
        <f t="shared" si="19"/>
        <v>1</v>
      </c>
      <c r="G143" s="10" t="s">
        <v>35</v>
      </c>
      <c r="H143" s="3" t="str">
        <f t="shared" si="20"/>
        <v>EXECUTE [dbo].[PG_CI_SYS2_ACCESO_USR_FRM_ACCIONES] 0, 2006,    1004, 3, 'FO_SITIO_ADMINISTRADOR';</v>
      </c>
    </row>
    <row r="144" spans="1:8" s="9" customFormat="1" x14ac:dyDescent="0.3">
      <c r="A144" s="8">
        <f t="shared" si="21"/>
        <v>0</v>
      </c>
      <c r="B144" s="8">
        <f t="shared" si="22"/>
        <v>2006</v>
      </c>
      <c r="C144" s="8">
        <f t="shared" si="23"/>
        <v>1004</v>
      </c>
      <c r="D144" s="19">
        <v>5</v>
      </c>
      <c r="E144" s="7" t="s">
        <v>11</v>
      </c>
      <c r="F144" s="19">
        <f t="shared" si="19"/>
        <v>1</v>
      </c>
      <c r="G144" s="10" t="s">
        <v>35</v>
      </c>
      <c r="H144" s="3" t="str">
        <f t="shared" si="20"/>
        <v>EXECUTE [dbo].[PG_CI_SYS2_ACCESO_USR_FRM_ACCIONES] 0, 2006,    1004, 5, 'FO_GENERAR_COMISION';</v>
      </c>
    </row>
    <row r="145" spans="1:8" s="9" customFormat="1" x14ac:dyDescent="0.3">
      <c r="A145" s="8">
        <f t="shared" si="21"/>
        <v>0</v>
      </c>
      <c r="B145" s="8">
        <f t="shared" si="22"/>
        <v>2006</v>
      </c>
      <c r="C145" s="8">
        <f t="shared" si="23"/>
        <v>1004</v>
      </c>
      <c r="D145" s="8">
        <v>4</v>
      </c>
      <c r="E145" s="7" t="s">
        <v>4</v>
      </c>
      <c r="F145" s="19">
        <f t="shared" si="19"/>
        <v>1</v>
      </c>
      <c r="G145" s="10" t="s">
        <v>35</v>
      </c>
      <c r="H145" s="3" t="str">
        <f t="shared" si="20"/>
        <v>EXECUTE [dbo].[PG_CI_SYS2_ACCESO_USR_FRM_ACCIONES] 0, 2006,    1004, 4, 'FO_BITACORA_COMISION';</v>
      </c>
    </row>
    <row r="146" spans="1:8" s="9" customFormat="1" x14ac:dyDescent="0.3">
      <c r="A146" s="5"/>
      <c r="B146" s="11"/>
      <c r="C146" s="11"/>
      <c r="D146" s="11"/>
      <c r="E146" s="6"/>
      <c r="F146" s="11"/>
      <c r="G146" s="11" t="s">
        <v>35</v>
      </c>
      <c r="H146" s="2" t="s">
        <v>32</v>
      </c>
    </row>
    <row r="147" spans="1:8" s="9" customFormat="1" hidden="1" x14ac:dyDescent="0.3">
      <c r="A147" s="5"/>
      <c r="B147" s="11"/>
      <c r="C147" s="11"/>
      <c r="D147" s="11"/>
      <c r="E147" s="6"/>
      <c r="F147" s="11"/>
      <c r="G147" s="11"/>
      <c r="H147" s="2"/>
    </row>
    <row r="148" spans="1:8" s="9" customFormat="1" hidden="1" x14ac:dyDescent="0.3">
      <c r="A148" s="5"/>
      <c r="B148" s="11"/>
      <c r="C148" s="11"/>
      <c r="D148" s="11"/>
      <c r="E148" s="6"/>
      <c r="F148" s="11"/>
      <c r="G148" s="11"/>
      <c r="H148" s="2"/>
    </row>
    <row r="149" spans="1:8" s="9" customFormat="1" hidden="1" x14ac:dyDescent="0.3">
      <c r="A149" s="5"/>
      <c r="B149" s="11"/>
      <c r="C149" s="11"/>
      <c r="D149" s="11"/>
      <c r="E149" s="6"/>
      <c r="F149" s="11"/>
      <c r="G149" s="11"/>
      <c r="H149" s="2"/>
    </row>
    <row r="150" spans="1:8" s="9" customFormat="1" hidden="1" x14ac:dyDescent="0.3">
      <c r="A150" s="5"/>
      <c r="B150" s="11"/>
      <c r="C150" s="11"/>
      <c r="D150" s="11"/>
      <c r="E150" s="6"/>
      <c r="F150" s="11"/>
      <c r="G150" s="11"/>
      <c r="H150" s="2"/>
    </row>
    <row r="151" spans="1:8" s="9" customFormat="1" hidden="1" x14ac:dyDescent="0.3">
      <c r="A151" s="5"/>
      <c r="B151" s="11"/>
      <c r="C151" s="11"/>
      <c r="D151" s="11"/>
      <c r="E151" s="6"/>
      <c r="F151" s="11"/>
      <c r="G151" s="11"/>
      <c r="H151" s="2"/>
    </row>
    <row r="152" spans="1:8" s="9" customFormat="1" hidden="1" x14ac:dyDescent="0.3">
      <c r="A152" s="5"/>
      <c r="B152" s="11"/>
      <c r="C152" s="11"/>
      <c r="D152" s="11"/>
      <c r="E152" s="6"/>
      <c r="F152" s="11"/>
      <c r="G152" s="11"/>
      <c r="H152" s="2"/>
    </row>
    <row r="153" spans="1:8" s="9" customFormat="1" hidden="1" x14ac:dyDescent="0.3">
      <c r="A153" s="5"/>
      <c r="B153" s="11"/>
      <c r="C153" s="11"/>
      <c r="D153" s="11"/>
      <c r="E153" s="6"/>
      <c r="F153" s="11"/>
      <c r="G153" s="11"/>
      <c r="H153" s="2"/>
    </row>
    <row r="154" spans="1:8" s="9" customFormat="1" hidden="1" x14ac:dyDescent="0.3">
      <c r="A154" s="5"/>
      <c r="B154" s="11"/>
      <c r="C154" s="11"/>
      <c r="D154" s="11"/>
      <c r="E154" s="6"/>
      <c r="F154" s="11"/>
      <c r="G154" s="11"/>
      <c r="H154" s="2"/>
    </row>
    <row r="155" spans="1:8" s="9" customFormat="1" hidden="1" x14ac:dyDescent="0.3">
      <c r="A155" s="5"/>
      <c r="B155" s="11"/>
      <c r="C155" s="11"/>
      <c r="D155" s="11"/>
      <c r="E155" s="6"/>
      <c r="F155" s="11"/>
      <c r="G155" s="11"/>
      <c r="H155" s="2"/>
    </row>
    <row r="156" spans="1:8" s="9" customFormat="1" hidden="1" x14ac:dyDescent="0.3">
      <c r="A156" s="5"/>
      <c r="B156" s="11"/>
      <c r="C156" s="11"/>
      <c r="D156" s="11"/>
      <c r="E156" s="6"/>
      <c r="F156" s="11"/>
      <c r="G156" s="11"/>
      <c r="H156" s="2"/>
    </row>
    <row r="157" spans="1:8" s="9" customFormat="1" hidden="1" x14ac:dyDescent="0.3">
      <c r="A157" s="5"/>
      <c r="B157" s="11"/>
      <c r="C157" s="11"/>
      <c r="D157" s="11"/>
      <c r="E157" s="6"/>
      <c r="F157" s="11"/>
      <c r="G157" s="11"/>
      <c r="H157" s="2"/>
    </row>
    <row r="158" spans="1:8" s="9" customFormat="1" hidden="1" x14ac:dyDescent="0.3">
      <c r="A158" s="5"/>
      <c r="B158" s="11"/>
      <c r="C158" s="11"/>
      <c r="D158" s="11"/>
      <c r="E158" s="6"/>
      <c r="F158" s="11"/>
      <c r="G158" s="11"/>
      <c r="H158" s="2"/>
    </row>
    <row r="159" spans="1:8" s="9" customFormat="1" hidden="1" x14ac:dyDescent="0.3">
      <c r="A159" s="5"/>
      <c r="B159" s="11"/>
      <c r="C159" s="11"/>
      <c r="D159" s="11"/>
      <c r="E159" s="6"/>
      <c r="F159" s="11"/>
      <c r="G159" s="11"/>
      <c r="H159" s="2"/>
    </row>
    <row r="160" spans="1:8" s="9" customFormat="1" hidden="1" x14ac:dyDescent="0.3">
      <c r="A160" s="5"/>
      <c r="B160" s="11"/>
      <c r="C160" s="11"/>
      <c r="D160" s="11"/>
      <c r="E160" s="6"/>
      <c r="F160" s="11"/>
      <c r="G160" s="11"/>
      <c r="H160" s="2"/>
    </row>
    <row r="161" spans="1:8" s="9" customFormat="1" hidden="1" x14ac:dyDescent="0.3">
      <c r="A161" s="5"/>
      <c r="B161" s="11"/>
      <c r="C161" s="11"/>
      <c r="D161" s="11"/>
      <c r="E161" s="6"/>
      <c r="F161" s="11"/>
      <c r="G161" s="11"/>
      <c r="H161" s="2"/>
    </row>
    <row r="162" spans="1:8" s="9" customFormat="1" hidden="1" x14ac:dyDescent="0.3">
      <c r="A162" s="5"/>
      <c r="B162" s="11"/>
      <c r="C162" s="11"/>
      <c r="D162" s="11"/>
      <c r="E162" s="6"/>
      <c r="F162" s="11"/>
      <c r="G162" s="11"/>
      <c r="H162" s="2"/>
    </row>
    <row r="163" spans="1:8" s="9" customFormat="1" hidden="1" x14ac:dyDescent="0.3">
      <c r="A163" s="5"/>
      <c r="B163" s="11"/>
      <c r="C163" s="11"/>
      <c r="D163" s="11"/>
      <c r="E163" s="6"/>
      <c r="F163" s="11"/>
      <c r="G163" s="11"/>
      <c r="H163" s="2"/>
    </row>
    <row r="164" spans="1:8" s="9" customFormat="1" hidden="1" x14ac:dyDescent="0.3">
      <c r="A164" s="5"/>
      <c r="B164" s="11"/>
      <c r="C164" s="11"/>
      <c r="D164" s="11"/>
      <c r="E164" s="6"/>
      <c r="F164" s="11"/>
      <c r="G164" s="11"/>
      <c r="H164" s="2"/>
    </row>
    <row r="165" spans="1:8" s="9" customFormat="1" hidden="1" x14ac:dyDescent="0.3">
      <c r="A165" s="5"/>
      <c r="B165" s="11"/>
      <c r="C165" s="11"/>
      <c r="D165" s="11"/>
      <c r="E165" s="6"/>
      <c r="F165" s="11"/>
      <c r="G165" s="11"/>
      <c r="H165" s="2"/>
    </row>
    <row r="166" spans="1:8" s="9" customFormat="1" hidden="1" x14ac:dyDescent="0.3">
      <c r="A166" s="5"/>
      <c r="B166" s="11"/>
      <c r="C166" s="11"/>
      <c r="D166" s="11"/>
      <c r="E166" s="6"/>
      <c r="F166" s="11"/>
      <c r="G166" s="11"/>
      <c r="H166" s="2"/>
    </row>
    <row r="167" spans="1:8" s="9" customFormat="1" hidden="1" x14ac:dyDescent="0.3">
      <c r="A167" s="5"/>
      <c r="B167" s="11"/>
      <c r="C167" s="11"/>
      <c r="D167" s="11"/>
      <c r="E167" s="6"/>
      <c r="F167" s="11"/>
      <c r="G167" s="11"/>
      <c r="H167" s="2"/>
    </row>
    <row r="168" spans="1:8" s="9" customFormat="1" hidden="1" x14ac:dyDescent="0.3">
      <c r="A168" s="5"/>
      <c r="B168" s="11"/>
      <c r="C168" s="11"/>
      <c r="D168" s="11"/>
      <c r="E168" s="6"/>
      <c r="F168" s="11"/>
      <c r="G168" s="11"/>
      <c r="H168" s="2"/>
    </row>
    <row r="169" spans="1:8" s="9" customFormat="1" hidden="1" x14ac:dyDescent="0.3">
      <c r="A169" s="5"/>
      <c r="B169" s="11"/>
      <c r="C169" s="11"/>
      <c r="D169" s="11"/>
      <c r="E169" s="6"/>
      <c r="F169" s="11"/>
      <c r="G169" s="11"/>
      <c r="H169" s="2"/>
    </row>
    <row r="170" spans="1:8" s="9" customFormat="1" hidden="1" x14ac:dyDescent="0.3">
      <c r="A170" s="5"/>
      <c r="B170" s="11"/>
      <c r="C170" s="11"/>
      <c r="D170" s="11"/>
      <c r="E170" s="6"/>
      <c r="F170" s="11"/>
      <c r="G170" s="11"/>
      <c r="H170" s="2"/>
    </row>
    <row r="171" spans="1:8" s="9" customFormat="1" hidden="1" x14ac:dyDescent="0.3">
      <c r="A171" s="5"/>
      <c r="B171" s="11"/>
      <c r="C171" s="11"/>
      <c r="D171" s="11"/>
      <c r="E171" s="6"/>
      <c r="F171" s="11"/>
      <c r="G171" s="11"/>
      <c r="H171" s="2"/>
    </row>
    <row r="172" spans="1:8" s="9" customFormat="1" hidden="1" x14ac:dyDescent="0.3">
      <c r="A172" s="5"/>
      <c r="B172" s="11"/>
      <c r="C172" s="11"/>
      <c r="D172" s="11"/>
      <c r="E172" s="6"/>
      <c r="F172" s="11"/>
      <c r="G172" s="11"/>
      <c r="H172" s="2"/>
    </row>
    <row r="173" spans="1:8" s="9" customFormat="1" hidden="1" x14ac:dyDescent="0.3">
      <c r="A173" s="5"/>
      <c r="B173" s="11"/>
      <c r="C173" s="11"/>
      <c r="D173" s="11"/>
      <c r="E173" s="6"/>
      <c r="F173" s="11"/>
      <c r="G173" s="11"/>
      <c r="H173" s="2"/>
    </row>
    <row r="174" spans="1:8" s="9" customFormat="1" hidden="1" x14ac:dyDescent="0.3">
      <c r="A174" s="5"/>
      <c r="B174" s="11"/>
      <c r="C174" s="11"/>
      <c r="D174" s="11"/>
      <c r="E174" s="6"/>
      <c r="F174" s="11"/>
      <c r="G174" s="11"/>
      <c r="H174" s="2"/>
    </row>
    <row r="175" spans="1:8" hidden="1" x14ac:dyDescent="0.3">
      <c r="A175" s="14"/>
      <c r="B175" s="15"/>
      <c r="C175" s="15"/>
      <c r="D175" s="15"/>
      <c r="E175" s="16"/>
      <c r="F175" s="15"/>
      <c r="G175" s="15"/>
      <c r="H175" s="17" t="s">
        <v>43</v>
      </c>
    </row>
    <row r="176" spans="1:8" hidden="1" x14ac:dyDescent="0.3">
      <c r="A176" s="8">
        <f>$A$1</f>
        <v>0</v>
      </c>
      <c r="B176" s="8">
        <f>$B$1</f>
        <v>2006</v>
      </c>
      <c r="C176" s="12">
        <v>111</v>
      </c>
      <c r="D176" s="10">
        <v>1</v>
      </c>
      <c r="E176" s="7" t="s">
        <v>25</v>
      </c>
      <c r="F176" s="10">
        <v>1</v>
      </c>
      <c r="G176" s="10" t="s">
        <v>34</v>
      </c>
      <c r="H176" s="3" t="str">
        <f>CONCATENATE("EXECUTE [dbo].[PG_CI_SYS_PERFIL_DEFINICION] ",A176,", ",B176,",    ",C176,", ",D176,", '",E176,"';" )</f>
        <v>EXECUTE [dbo].[PG_CI_SYS_PERFIL_DEFINICION] 0, 2006,    111, 1, 'FO_NOMBRE';</v>
      </c>
    </row>
    <row r="177" spans="1:8" hidden="1" x14ac:dyDescent="0.3">
      <c r="A177" s="8">
        <f t="shared" ref="A177:A201" si="24">$A$1</f>
        <v>0</v>
      </c>
      <c r="B177" s="8">
        <f>$B$1</f>
        <v>2006</v>
      </c>
      <c r="C177" s="8">
        <f>C176</f>
        <v>111</v>
      </c>
      <c r="D177" s="8">
        <f>D176</f>
        <v>1</v>
      </c>
      <c r="E177" s="7" t="s">
        <v>18</v>
      </c>
      <c r="F177" s="10">
        <v>1</v>
      </c>
      <c r="G177" s="10" t="s">
        <v>34</v>
      </c>
      <c r="H177" s="3" t="str">
        <f t="shared" ref="H177:H201" si="25">CONCATENATE("EXECUTE [dbo].[PG_CI_SYS_PERFIL_DEFINICION] ",A177,", ",B177,",    ",C177,", ",D177,", '",E177,"';" )</f>
        <v>EXECUTE [dbo].[PG_CI_SYS_PERFIL_DEFINICION] 0, 2006,    111, 1, 'FO_PRODUCTO';</v>
      </c>
    </row>
    <row r="178" spans="1:8" hidden="1" x14ac:dyDescent="0.3">
      <c r="A178" s="8">
        <f t="shared" si="24"/>
        <v>0</v>
      </c>
      <c r="B178" s="8">
        <f t="shared" ref="B178:B201" si="26">$B$1</f>
        <v>2006</v>
      </c>
      <c r="C178" s="8">
        <f t="shared" ref="C178:D193" si="27">C177</f>
        <v>111</v>
      </c>
      <c r="D178" s="8">
        <f t="shared" si="27"/>
        <v>1</v>
      </c>
      <c r="E178" s="7" t="s">
        <v>24</v>
      </c>
      <c r="F178" s="10">
        <v>1</v>
      </c>
      <c r="G178" s="10" t="s">
        <v>34</v>
      </c>
      <c r="H178" s="3" t="str">
        <f t="shared" si="25"/>
        <v>EXECUTE [dbo].[PG_CI_SYS_PERFIL_DEFINICION] 0, 2006,    111, 1, 'FO_TASA_IMPUESTO';</v>
      </c>
    </row>
    <row r="179" spans="1:8" hidden="1" x14ac:dyDescent="0.3">
      <c r="A179" s="8">
        <f t="shared" si="24"/>
        <v>0</v>
      </c>
      <c r="B179" s="8">
        <f t="shared" si="26"/>
        <v>2006</v>
      </c>
      <c r="C179" s="8">
        <f t="shared" si="27"/>
        <v>111</v>
      </c>
      <c r="D179" s="8">
        <f t="shared" si="27"/>
        <v>1</v>
      </c>
      <c r="E179" s="7" t="s">
        <v>17</v>
      </c>
      <c r="F179" s="10">
        <v>1</v>
      </c>
      <c r="G179" s="10" t="s">
        <v>34</v>
      </c>
      <c r="H179" s="3" t="str">
        <f t="shared" si="25"/>
        <v>EXECUTE [dbo].[PG_CI_SYS_PERFIL_DEFINICION] 0, 2006,    111, 1, 'FO_PRECIO';</v>
      </c>
    </row>
    <row r="180" spans="1:8" hidden="1" x14ac:dyDescent="0.3">
      <c r="A180" s="8">
        <f t="shared" si="24"/>
        <v>0</v>
      </c>
      <c r="B180" s="8">
        <f t="shared" si="26"/>
        <v>2006</v>
      </c>
      <c r="C180" s="8">
        <f t="shared" si="27"/>
        <v>111</v>
      </c>
      <c r="D180" s="8">
        <f t="shared" si="27"/>
        <v>1</v>
      </c>
      <c r="E180" s="7" t="s">
        <v>21</v>
      </c>
      <c r="F180" s="10">
        <v>1</v>
      </c>
      <c r="G180" s="10" t="s">
        <v>34</v>
      </c>
      <c r="H180" s="3" t="str">
        <f t="shared" si="25"/>
        <v>EXECUTE [dbo].[PG_CI_SYS_PERFIL_DEFINICION] 0, 2006,    111, 1, 'FO_SITIO';</v>
      </c>
    </row>
    <row r="181" spans="1:8" hidden="1" x14ac:dyDescent="0.3">
      <c r="A181" s="8">
        <f t="shared" si="24"/>
        <v>0</v>
      </c>
      <c r="B181" s="8">
        <f t="shared" si="26"/>
        <v>2006</v>
      </c>
      <c r="C181" s="8">
        <f t="shared" si="27"/>
        <v>111</v>
      </c>
      <c r="D181" s="8">
        <f t="shared" si="27"/>
        <v>1</v>
      </c>
      <c r="E181" s="7" t="s">
        <v>7</v>
      </c>
      <c r="F181" s="10">
        <v>1</v>
      </c>
      <c r="G181" s="10" t="s">
        <v>34</v>
      </c>
      <c r="H181" s="3" t="str">
        <f t="shared" si="25"/>
        <v>EXECUTE [dbo].[PG_CI_SYS_PERFIL_DEFINICION] 0, 2006,    111, 1, 'FO_CLIENTE';</v>
      </c>
    </row>
    <row r="182" spans="1:8" hidden="1" x14ac:dyDescent="0.3">
      <c r="A182" s="8">
        <f t="shared" si="24"/>
        <v>0</v>
      </c>
      <c r="B182" s="8">
        <f t="shared" si="26"/>
        <v>2006</v>
      </c>
      <c r="C182" s="8">
        <f t="shared" si="27"/>
        <v>111</v>
      </c>
      <c r="D182" s="8">
        <f t="shared" si="27"/>
        <v>1</v>
      </c>
      <c r="E182" s="7" t="s">
        <v>6</v>
      </c>
      <c r="F182" s="10">
        <v>1</v>
      </c>
      <c r="G182" s="10" t="s">
        <v>34</v>
      </c>
      <c r="H182" s="3" t="str">
        <f t="shared" si="25"/>
        <v>EXECUTE [dbo].[PG_CI_SYS_PERFIL_DEFINICION] 0, 2006,    111, 1, 'FO_CARGO';</v>
      </c>
    </row>
    <row r="183" spans="1:8" hidden="1" x14ac:dyDescent="0.3">
      <c r="A183" s="8">
        <f t="shared" si="24"/>
        <v>0</v>
      </c>
      <c r="B183" s="8">
        <f t="shared" si="26"/>
        <v>2006</v>
      </c>
      <c r="C183" s="8">
        <f t="shared" si="27"/>
        <v>111</v>
      </c>
      <c r="D183" s="8">
        <f t="shared" si="27"/>
        <v>1</v>
      </c>
      <c r="E183" s="7" t="s">
        <v>9</v>
      </c>
      <c r="F183" s="10">
        <v>1</v>
      </c>
      <c r="G183" s="10" t="s">
        <v>34</v>
      </c>
      <c r="H183" s="3" t="str">
        <f t="shared" si="25"/>
        <v>EXECUTE [dbo].[PG_CI_SYS_PERFIL_DEFINICION] 0, 2006,    111, 1, 'FO_CONDICION_COMERCIAL';</v>
      </c>
    </row>
    <row r="184" spans="1:8" hidden="1" x14ac:dyDescent="0.3">
      <c r="A184" s="8">
        <f t="shared" si="24"/>
        <v>0</v>
      </c>
      <c r="B184" s="8">
        <f t="shared" si="26"/>
        <v>2006</v>
      </c>
      <c r="C184" s="8">
        <f t="shared" si="27"/>
        <v>111</v>
      </c>
      <c r="D184" s="8">
        <f t="shared" si="27"/>
        <v>1</v>
      </c>
      <c r="E184" s="7" t="s">
        <v>13</v>
      </c>
      <c r="F184" s="10">
        <v>1</v>
      </c>
      <c r="G184" s="10" t="s">
        <v>34</v>
      </c>
      <c r="H184" s="3" t="str">
        <f t="shared" si="25"/>
        <v>EXECUTE [dbo].[PG_CI_SYS_PERFIL_DEFINICION] 0, 2006,    111, 1, 'FO_LECTURA';</v>
      </c>
    </row>
    <row r="185" spans="1:8" hidden="1" x14ac:dyDescent="0.3">
      <c r="A185" s="8">
        <f t="shared" si="24"/>
        <v>0</v>
      </c>
      <c r="B185" s="8">
        <f t="shared" si="26"/>
        <v>2006</v>
      </c>
      <c r="C185" s="8">
        <f t="shared" si="27"/>
        <v>111</v>
      </c>
      <c r="D185" s="8">
        <f t="shared" si="27"/>
        <v>1</v>
      </c>
      <c r="E185" s="7" t="s">
        <v>23</v>
      </c>
      <c r="F185" s="10">
        <v>1</v>
      </c>
      <c r="G185" s="10" t="s">
        <v>34</v>
      </c>
      <c r="H185" s="3" t="str">
        <f t="shared" si="25"/>
        <v>EXECUTE [dbo].[PG_CI_SYS_PERFIL_DEFINICION] 0, 2006,    111, 1, 'FO_SITIO_CONTROL_RECIBO';</v>
      </c>
    </row>
    <row r="186" spans="1:8" hidden="1" x14ac:dyDescent="0.3">
      <c r="A186" s="8">
        <f t="shared" si="24"/>
        <v>0</v>
      </c>
      <c r="B186" s="8">
        <f t="shared" si="26"/>
        <v>2006</v>
      </c>
      <c r="C186" s="8">
        <f t="shared" si="27"/>
        <v>111</v>
      </c>
      <c r="D186" s="8">
        <f t="shared" si="27"/>
        <v>1</v>
      </c>
      <c r="E186" s="7" t="s">
        <v>20</v>
      </c>
      <c r="F186" s="10">
        <v>1</v>
      </c>
      <c r="G186" s="10" t="s">
        <v>34</v>
      </c>
      <c r="H186" s="3" t="str">
        <f t="shared" si="25"/>
        <v>EXECUTE [dbo].[PG_CI_SYS_PERFIL_DEFINICION] 0, 2006,    111, 1, 'FO_RENGLON_RECIBO';</v>
      </c>
    </row>
    <row r="187" spans="1:8" hidden="1" x14ac:dyDescent="0.3">
      <c r="A187" s="8">
        <f t="shared" si="24"/>
        <v>0</v>
      </c>
      <c r="B187" s="8">
        <f t="shared" si="26"/>
        <v>2006</v>
      </c>
      <c r="C187" s="8">
        <f t="shared" si="27"/>
        <v>111</v>
      </c>
      <c r="D187" s="8">
        <f t="shared" si="27"/>
        <v>1</v>
      </c>
      <c r="E187" s="7" t="s">
        <v>19</v>
      </c>
      <c r="F187" s="10">
        <v>1</v>
      </c>
      <c r="G187" s="10" t="s">
        <v>34</v>
      </c>
      <c r="H187" s="3" t="str">
        <f t="shared" si="25"/>
        <v>EXECUTE [dbo].[PG_CI_SYS_PERFIL_DEFINICION] 0, 2006,    111, 1, 'FO_RECIBO';</v>
      </c>
    </row>
    <row r="188" spans="1:8" hidden="1" x14ac:dyDescent="0.3">
      <c r="A188" s="8">
        <f t="shared" si="24"/>
        <v>0</v>
      </c>
      <c r="B188" s="8">
        <f t="shared" si="26"/>
        <v>2006</v>
      </c>
      <c r="C188" s="8">
        <f t="shared" si="27"/>
        <v>111</v>
      </c>
      <c r="D188" s="8">
        <f t="shared" si="27"/>
        <v>1</v>
      </c>
      <c r="E188" s="7" t="s">
        <v>10</v>
      </c>
      <c r="F188" s="10">
        <v>1</v>
      </c>
      <c r="G188" s="10" t="s">
        <v>34</v>
      </c>
      <c r="H188" s="3" t="str">
        <f t="shared" si="25"/>
        <v>EXECUTE [dbo].[PG_CI_SYS_PERFIL_DEFINICION] 0, 2006,    111, 1, 'FO_GENERA_RECIBO_PDF';</v>
      </c>
    </row>
    <row r="189" spans="1:8" hidden="1" x14ac:dyDescent="0.3">
      <c r="A189" s="8">
        <f t="shared" si="24"/>
        <v>0</v>
      </c>
      <c r="B189" s="8">
        <f t="shared" si="26"/>
        <v>2006</v>
      </c>
      <c r="C189" s="8">
        <f t="shared" si="27"/>
        <v>111</v>
      </c>
      <c r="D189" s="8">
        <f t="shared" si="27"/>
        <v>1</v>
      </c>
      <c r="E189" s="7" t="s">
        <v>44</v>
      </c>
      <c r="F189" s="10">
        <v>1</v>
      </c>
      <c r="G189" s="10" t="s">
        <v>34</v>
      </c>
      <c r="H189" s="3" t="str">
        <f t="shared" si="25"/>
        <v>EXECUTE [dbo].[PG_CI_SYS_PERFIL_DEFINICION] 0, 2006,    111, 1, 'FO_GENERA_ESTADO_CUENTA_PDF';</v>
      </c>
    </row>
    <row r="190" spans="1:8" hidden="1" x14ac:dyDescent="0.3">
      <c r="A190" s="8">
        <f t="shared" si="24"/>
        <v>0</v>
      </c>
      <c r="B190" s="8">
        <f t="shared" si="26"/>
        <v>2006</v>
      </c>
      <c r="C190" s="8">
        <f t="shared" si="27"/>
        <v>111</v>
      </c>
      <c r="D190" s="8">
        <f t="shared" si="27"/>
        <v>1</v>
      </c>
      <c r="E190" s="7" t="s">
        <v>15</v>
      </c>
      <c r="F190" s="10">
        <v>1</v>
      </c>
      <c r="G190" s="10" t="s">
        <v>34</v>
      </c>
      <c r="H190" s="3" t="str">
        <f t="shared" si="25"/>
        <v>EXECUTE [dbo].[PG_CI_SYS_PERFIL_DEFINICION] 0, 2006,    111, 1, 'FO_PAGO';</v>
      </c>
    </row>
    <row r="191" spans="1:8" hidden="1" x14ac:dyDescent="0.3">
      <c r="A191" s="8">
        <f t="shared" si="24"/>
        <v>0</v>
      </c>
      <c r="B191" s="8">
        <f t="shared" si="26"/>
        <v>2006</v>
      </c>
      <c r="C191" s="8">
        <f t="shared" si="27"/>
        <v>111</v>
      </c>
      <c r="D191" s="8">
        <f t="shared" si="27"/>
        <v>1</v>
      </c>
      <c r="E191" s="7" t="s">
        <v>3</v>
      </c>
      <c r="F191" s="10">
        <v>1</v>
      </c>
      <c r="G191" s="10" t="s">
        <v>34</v>
      </c>
      <c r="H191" s="3" t="str">
        <f t="shared" si="25"/>
        <v>EXECUTE [dbo].[PG_CI_SYS_PERFIL_DEFINICION] 0, 2006,    111, 1, 'FO_APLICAR_PAGO_CLIENTE';</v>
      </c>
    </row>
    <row r="192" spans="1:8" hidden="1" x14ac:dyDescent="0.3">
      <c r="A192" s="8">
        <f t="shared" si="24"/>
        <v>0</v>
      </c>
      <c r="B192" s="8">
        <f t="shared" si="26"/>
        <v>2006</v>
      </c>
      <c r="C192" s="8">
        <f t="shared" si="27"/>
        <v>111</v>
      </c>
      <c r="D192" s="8">
        <f t="shared" si="27"/>
        <v>1</v>
      </c>
      <c r="E192" s="7" t="s">
        <v>16</v>
      </c>
      <c r="F192" s="10">
        <v>1</v>
      </c>
      <c r="G192" s="10" t="s">
        <v>34</v>
      </c>
      <c r="H192" s="3" t="str">
        <f t="shared" si="25"/>
        <v>EXECUTE [dbo].[PG_CI_SYS_PERFIL_DEFINICION] 0, 2006,    111, 1, 'FO_PAGO_RECIBO';</v>
      </c>
    </row>
    <row r="193" spans="1:8" hidden="1" x14ac:dyDescent="0.3">
      <c r="A193" s="8">
        <f t="shared" si="24"/>
        <v>0</v>
      </c>
      <c r="B193" s="8">
        <f t="shared" si="26"/>
        <v>2006</v>
      </c>
      <c r="C193" s="8">
        <f t="shared" si="27"/>
        <v>111</v>
      </c>
      <c r="D193" s="8">
        <f t="shared" si="27"/>
        <v>1</v>
      </c>
      <c r="E193" s="7" t="s">
        <v>8</v>
      </c>
      <c r="F193" s="10">
        <v>1</v>
      </c>
      <c r="G193" s="10" t="s">
        <v>34</v>
      </c>
      <c r="H193" s="3" t="str">
        <f t="shared" si="25"/>
        <v>EXECUTE [dbo].[PG_CI_SYS_PERFIL_DEFINICION] 0, 2006,    111, 1, 'FO_CLIENTE_DESCONEXION_RECONEXION';</v>
      </c>
    </row>
    <row r="194" spans="1:8" hidden="1" x14ac:dyDescent="0.3">
      <c r="A194" s="8">
        <f t="shared" si="24"/>
        <v>0</v>
      </c>
      <c r="B194" s="8">
        <f t="shared" si="26"/>
        <v>2006</v>
      </c>
      <c r="C194" s="8">
        <f t="shared" ref="C194:D201" si="28">C193</f>
        <v>111</v>
      </c>
      <c r="D194" s="8">
        <f t="shared" si="28"/>
        <v>1</v>
      </c>
      <c r="E194" s="7" t="s">
        <v>5</v>
      </c>
      <c r="F194" s="10">
        <v>1</v>
      </c>
      <c r="G194" s="10" t="s">
        <v>34</v>
      </c>
      <c r="H194" s="3" t="str">
        <f t="shared" si="25"/>
        <v>EXECUTE [dbo].[PG_CI_SYS_PERFIL_DEFINICION] 0, 2006,    111, 1, 'FO_BITACORA_DESCONEXION_RECONEXION';</v>
      </c>
    </row>
    <row r="195" spans="1:8" hidden="1" x14ac:dyDescent="0.3">
      <c r="A195" s="8">
        <f t="shared" si="24"/>
        <v>0</v>
      </c>
      <c r="B195" s="8">
        <f t="shared" si="26"/>
        <v>2006</v>
      </c>
      <c r="C195" s="8">
        <f t="shared" si="28"/>
        <v>111</v>
      </c>
      <c r="D195" s="8">
        <f t="shared" si="28"/>
        <v>1</v>
      </c>
      <c r="E195" s="7" t="s">
        <v>2</v>
      </c>
      <c r="F195" s="10">
        <v>1</v>
      </c>
      <c r="G195" s="10" t="s">
        <v>34</v>
      </c>
      <c r="H195" s="3" t="str">
        <f t="shared" si="25"/>
        <v>EXECUTE [dbo].[PG_CI_SYS_PERFIL_DEFINICION] 0, 2006,    111, 1, 'FO_ALMACEN_SITIO';</v>
      </c>
    </row>
    <row r="196" spans="1:8" hidden="1" x14ac:dyDescent="0.3">
      <c r="A196" s="8">
        <f t="shared" si="24"/>
        <v>0</v>
      </c>
      <c r="B196" s="8">
        <f t="shared" si="26"/>
        <v>2006</v>
      </c>
      <c r="C196" s="8">
        <f t="shared" si="28"/>
        <v>111</v>
      </c>
      <c r="D196" s="8">
        <f t="shared" si="28"/>
        <v>1</v>
      </c>
      <c r="E196" s="7" t="s">
        <v>14</v>
      </c>
      <c r="F196" s="10">
        <v>1</v>
      </c>
      <c r="G196" s="10" t="s">
        <v>34</v>
      </c>
      <c r="H196" s="3" t="str">
        <f t="shared" si="25"/>
        <v>EXECUTE [dbo].[PG_CI_SYS_PERFIL_DEFINICION] 0, 2006,    111, 1, 'FO_MOVIMIENTO_ALMACEN';</v>
      </c>
    </row>
    <row r="197" spans="1:8" hidden="1" x14ac:dyDescent="0.3">
      <c r="A197" s="8">
        <f t="shared" si="24"/>
        <v>0</v>
      </c>
      <c r="B197" s="8">
        <f t="shared" si="26"/>
        <v>2006</v>
      </c>
      <c r="C197" s="8">
        <f t="shared" si="28"/>
        <v>111</v>
      </c>
      <c r="D197" s="8">
        <f t="shared" si="28"/>
        <v>1</v>
      </c>
      <c r="E197" s="7" t="s">
        <v>12</v>
      </c>
      <c r="F197" s="10">
        <v>1</v>
      </c>
      <c r="G197" s="10" t="s">
        <v>34</v>
      </c>
      <c r="H197" s="3" t="str">
        <f t="shared" si="25"/>
        <v>EXECUTE [dbo].[PG_CI_SYS_PERFIL_DEFINICION] 0, 2006,    111, 1, 'FO_HISTORIA_ALMACEN';</v>
      </c>
    </row>
    <row r="198" spans="1:8" hidden="1" x14ac:dyDescent="0.3">
      <c r="A198" s="8">
        <f t="shared" si="24"/>
        <v>0</v>
      </c>
      <c r="B198" s="8">
        <f t="shared" si="26"/>
        <v>2006</v>
      </c>
      <c r="C198" s="8">
        <f t="shared" si="28"/>
        <v>111</v>
      </c>
      <c r="D198" s="8">
        <f t="shared" si="28"/>
        <v>1</v>
      </c>
      <c r="E198" s="7" t="s">
        <v>1</v>
      </c>
      <c r="F198" s="10">
        <v>1</v>
      </c>
      <c r="G198" s="10" t="s">
        <v>34</v>
      </c>
      <c r="H198" s="3" t="str">
        <f t="shared" si="25"/>
        <v>EXECUTE [dbo].[PG_CI_SYS_PERFIL_DEFINICION] 0, 2006,    111, 1, 'FO_ADMINISTRADOR';</v>
      </c>
    </row>
    <row r="199" spans="1:8" hidden="1" x14ac:dyDescent="0.3">
      <c r="A199" s="8">
        <f t="shared" si="24"/>
        <v>0</v>
      </c>
      <c r="B199" s="8">
        <f t="shared" si="26"/>
        <v>2006</v>
      </c>
      <c r="C199" s="8">
        <f t="shared" si="28"/>
        <v>111</v>
      </c>
      <c r="D199" s="8">
        <f t="shared" si="28"/>
        <v>1</v>
      </c>
      <c r="E199" s="7" t="s">
        <v>22</v>
      </c>
      <c r="F199" s="10">
        <v>1</v>
      </c>
      <c r="G199" s="10" t="s">
        <v>34</v>
      </c>
      <c r="H199" s="3" t="str">
        <f t="shared" si="25"/>
        <v>EXECUTE [dbo].[PG_CI_SYS_PERFIL_DEFINICION] 0, 2006,    111, 1, 'FO_SITIO_ADMINISTRADOR';</v>
      </c>
    </row>
    <row r="200" spans="1:8" hidden="1" x14ac:dyDescent="0.3">
      <c r="A200" s="8">
        <f t="shared" si="24"/>
        <v>0</v>
      </c>
      <c r="B200" s="8">
        <f t="shared" si="26"/>
        <v>2006</v>
      </c>
      <c r="C200" s="8">
        <f t="shared" si="28"/>
        <v>111</v>
      </c>
      <c r="D200" s="8">
        <f t="shared" si="28"/>
        <v>1</v>
      </c>
      <c r="E200" s="7" t="s">
        <v>11</v>
      </c>
      <c r="F200" s="10">
        <v>1</v>
      </c>
      <c r="G200" s="10" t="s">
        <v>34</v>
      </c>
      <c r="H200" s="3" t="str">
        <f t="shared" si="25"/>
        <v>EXECUTE [dbo].[PG_CI_SYS_PERFIL_DEFINICION] 0, 2006,    111, 1, 'FO_GENERAR_COMISION';</v>
      </c>
    </row>
    <row r="201" spans="1:8" hidden="1" x14ac:dyDescent="0.3">
      <c r="A201" s="8">
        <f t="shared" si="24"/>
        <v>0</v>
      </c>
      <c r="B201" s="8">
        <f t="shared" si="26"/>
        <v>2006</v>
      </c>
      <c r="C201" s="8">
        <f t="shared" si="28"/>
        <v>111</v>
      </c>
      <c r="D201" s="8">
        <f t="shared" si="28"/>
        <v>1</v>
      </c>
      <c r="E201" s="7" t="s">
        <v>4</v>
      </c>
      <c r="F201" s="10">
        <v>1</v>
      </c>
      <c r="G201" s="10" t="s">
        <v>34</v>
      </c>
      <c r="H201" s="3" t="str">
        <f t="shared" si="25"/>
        <v>EXECUTE [dbo].[PG_CI_SYS_PERFIL_DEFINICION] 0, 2006,    111, 1, 'FO_BITACORA_COMISION';</v>
      </c>
    </row>
    <row r="202" spans="1:8" hidden="1" x14ac:dyDescent="0.3">
      <c r="D202" s="11"/>
      <c r="G202" s="10" t="s">
        <v>34</v>
      </c>
      <c r="H202" s="2" t="s">
        <v>32</v>
      </c>
    </row>
    <row r="203" spans="1:8" hidden="1" x14ac:dyDescent="0.3">
      <c r="A203" s="14"/>
      <c r="B203" s="15"/>
      <c r="C203" s="15"/>
      <c r="D203" s="15"/>
      <c r="E203" s="16"/>
      <c r="F203" s="15"/>
      <c r="G203" s="15"/>
      <c r="H203" s="17" t="s">
        <v>42</v>
      </c>
    </row>
    <row r="204" spans="1:8" hidden="1" x14ac:dyDescent="0.3">
      <c r="A204" s="8">
        <f>$A$1</f>
        <v>0</v>
      </c>
      <c r="B204" s="8">
        <f>$B$1</f>
        <v>2006</v>
      </c>
      <c r="C204" s="12">
        <v>169</v>
      </c>
      <c r="D204" s="10">
        <v>1</v>
      </c>
      <c r="E204" s="7" t="s">
        <v>25</v>
      </c>
      <c r="F204" s="10">
        <v>1</v>
      </c>
      <c r="G204" s="10" t="s">
        <v>34</v>
      </c>
      <c r="H204" s="3" t="str">
        <f>CONCATENATE("EXECUTE [dbo].[PG_CI_SYS_PERFIL_DEFINICION] ",A204,", ",B204,",    ",C204,", ",D204,", '",E204,"';" )</f>
        <v>EXECUTE [dbo].[PG_CI_SYS_PERFIL_DEFINICION] 0, 2006,    169, 1, 'FO_NOMBRE';</v>
      </c>
    </row>
    <row r="205" spans="1:8" hidden="1" x14ac:dyDescent="0.3">
      <c r="A205" s="8">
        <f t="shared" ref="A205:A229" si="29">$A$1</f>
        <v>0</v>
      </c>
      <c r="B205" s="8">
        <f>$B$1</f>
        <v>2006</v>
      </c>
      <c r="C205" s="8">
        <f>C204</f>
        <v>169</v>
      </c>
      <c r="D205" s="8">
        <f>D204</f>
        <v>1</v>
      </c>
      <c r="E205" s="7" t="s">
        <v>18</v>
      </c>
      <c r="F205" s="10">
        <v>1</v>
      </c>
      <c r="G205" s="10" t="s">
        <v>34</v>
      </c>
      <c r="H205" s="3" t="str">
        <f t="shared" ref="H205:H229" si="30">CONCATENATE("EXECUTE [dbo].[PG_CI_SYS_PERFIL_DEFINICION] ",A205,", ",B205,",    ",C205,", ",D205,", '",E205,"';" )</f>
        <v>EXECUTE [dbo].[PG_CI_SYS_PERFIL_DEFINICION] 0, 2006,    169, 1, 'FO_PRODUCTO';</v>
      </c>
    </row>
    <row r="206" spans="1:8" hidden="1" x14ac:dyDescent="0.3">
      <c r="A206" s="8">
        <f t="shared" si="29"/>
        <v>0</v>
      </c>
      <c r="B206" s="8">
        <f t="shared" ref="B206:B229" si="31">$B$1</f>
        <v>2006</v>
      </c>
      <c r="C206" s="8">
        <f t="shared" ref="C206:D206" si="32">C205</f>
        <v>169</v>
      </c>
      <c r="D206" s="8">
        <f t="shared" si="32"/>
        <v>1</v>
      </c>
      <c r="E206" s="7" t="s">
        <v>24</v>
      </c>
      <c r="F206" s="10">
        <v>1</v>
      </c>
      <c r="G206" s="10" t="s">
        <v>34</v>
      </c>
      <c r="H206" s="3" t="str">
        <f t="shared" si="30"/>
        <v>EXECUTE [dbo].[PG_CI_SYS_PERFIL_DEFINICION] 0, 2006,    169, 1, 'FO_TASA_IMPUESTO';</v>
      </c>
    </row>
    <row r="207" spans="1:8" hidden="1" x14ac:dyDescent="0.3">
      <c r="A207" s="8">
        <f t="shared" si="29"/>
        <v>0</v>
      </c>
      <c r="B207" s="8">
        <f t="shared" si="31"/>
        <v>2006</v>
      </c>
      <c r="C207" s="8">
        <f t="shared" ref="C207:D207" si="33">C206</f>
        <v>169</v>
      </c>
      <c r="D207" s="8">
        <f t="shared" si="33"/>
        <v>1</v>
      </c>
      <c r="E207" s="7" t="s">
        <v>17</v>
      </c>
      <c r="F207" s="10">
        <v>1</v>
      </c>
      <c r="G207" s="10" t="s">
        <v>34</v>
      </c>
      <c r="H207" s="3" t="str">
        <f t="shared" si="30"/>
        <v>EXECUTE [dbo].[PG_CI_SYS_PERFIL_DEFINICION] 0, 2006,    169, 1, 'FO_PRECIO';</v>
      </c>
    </row>
    <row r="208" spans="1:8" hidden="1" x14ac:dyDescent="0.3">
      <c r="A208" s="8">
        <f t="shared" si="29"/>
        <v>0</v>
      </c>
      <c r="B208" s="8">
        <f t="shared" si="31"/>
        <v>2006</v>
      </c>
      <c r="C208" s="8">
        <f t="shared" ref="C208:D208" si="34">C207</f>
        <v>169</v>
      </c>
      <c r="D208" s="8">
        <f t="shared" si="34"/>
        <v>1</v>
      </c>
      <c r="E208" s="7" t="s">
        <v>21</v>
      </c>
      <c r="F208" s="10">
        <v>1</v>
      </c>
      <c r="G208" s="10" t="s">
        <v>34</v>
      </c>
      <c r="H208" s="3" t="str">
        <f t="shared" si="30"/>
        <v>EXECUTE [dbo].[PG_CI_SYS_PERFIL_DEFINICION] 0, 2006,    169, 1, 'FO_SITIO';</v>
      </c>
    </row>
    <row r="209" spans="1:8" hidden="1" x14ac:dyDescent="0.3">
      <c r="A209" s="8">
        <f t="shared" si="29"/>
        <v>0</v>
      </c>
      <c r="B209" s="8">
        <f t="shared" si="31"/>
        <v>2006</v>
      </c>
      <c r="C209" s="8">
        <f t="shared" ref="C209:D209" si="35">C208</f>
        <v>169</v>
      </c>
      <c r="D209" s="8">
        <f t="shared" si="35"/>
        <v>1</v>
      </c>
      <c r="E209" s="7" t="s">
        <v>7</v>
      </c>
      <c r="F209" s="10">
        <v>1</v>
      </c>
      <c r="G209" s="10" t="s">
        <v>34</v>
      </c>
      <c r="H209" s="3" t="str">
        <f t="shared" si="30"/>
        <v>EXECUTE [dbo].[PG_CI_SYS_PERFIL_DEFINICION] 0, 2006,    169, 1, 'FO_CLIENTE';</v>
      </c>
    </row>
    <row r="210" spans="1:8" hidden="1" x14ac:dyDescent="0.3">
      <c r="A210" s="8">
        <f t="shared" si="29"/>
        <v>0</v>
      </c>
      <c r="B210" s="8">
        <f t="shared" si="31"/>
        <v>2006</v>
      </c>
      <c r="C210" s="8">
        <f t="shared" ref="C210:D210" si="36">C209</f>
        <v>169</v>
      </c>
      <c r="D210" s="8">
        <f t="shared" si="36"/>
        <v>1</v>
      </c>
      <c r="E210" s="7" t="s">
        <v>6</v>
      </c>
      <c r="F210" s="10">
        <v>1</v>
      </c>
      <c r="G210" s="10" t="s">
        <v>34</v>
      </c>
      <c r="H210" s="3" t="str">
        <f t="shared" si="30"/>
        <v>EXECUTE [dbo].[PG_CI_SYS_PERFIL_DEFINICION] 0, 2006,    169, 1, 'FO_CARGO';</v>
      </c>
    </row>
    <row r="211" spans="1:8" hidden="1" x14ac:dyDescent="0.3">
      <c r="A211" s="8">
        <f t="shared" si="29"/>
        <v>0</v>
      </c>
      <c r="B211" s="8">
        <f t="shared" si="31"/>
        <v>2006</v>
      </c>
      <c r="C211" s="8">
        <f t="shared" ref="C211:D211" si="37">C210</f>
        <v>169</v>
      </c>
      <c r="D211" s="8">
        <f t="shared" si="37"/>
        <v>1</v>
      </c>
      <c r="E211" s="7" t="s">
        <v>9</v>
      </c>
      <c r="F211" s="10">
        <v>1</v>
      </c>
      <c r="G211" s="10" t="s">
        <v>34</v>
      </c>
      <c r="H211" s="3" t="str">
        <f t="shared" si="30"/>
        <v>EXECUTE [dbo].[PG_CI_SYS_PERFIL_DEFINICION] 0, 2006,    169, 1, 'FO_CONDICION_COMERCIAL';</v>
      </c>
    </row>
    <row r="212" spans="1:8" hidden="1" x14ac:dyDescent="0.3">
      <c r="A212" s="8">
        <f t="shared" si="29"/>
        <v>0</v>
      </c>
      <c r="B212" s="8">
        <f t="shared" si="31"/>
        <v>2006</v>
      </c>
      <c r="C212" s="8">
        <f t="shared" ref="C212:D212" si="38">C211</f>
        <v>169</v>
      </c>
      <c r="D212" s="8">
        <f t="shared" si="38"/>
        <v>1</v>
      </c>
      <c r="E212" s="7" t="s">
        <v>13</v>
      </c>
      <c r="F212" s="10">
        <v>1</v>
      </c>
      <c r="G212" s="10" t="s">
        <v>34</v>
      </c>
      <c r="H212" s="3" t="str">
        <f t="shared" si="30"/>
        <v>EXECUTE [dbo].[PG_CI_SYS_PERFIL_DEFINICION] 0, 2006,    169, 1, 'FO_LECTURA';</v>
      </c>
    </row>
    <row r="213" spans="1:8" hidden="1" x14ac:dyDescent="0.3">
      <c r="A213" s="8">
        <f t="shared" si="29"/>
        <v>0</v>
      </c>
      <c r="B213" s="8">
        <f t="shared" si="31"/>
        <v>2006</v>
      </c>
      <c r="C213" s="8">
        <f t="shared" ref="C213:D213" si="39">C212</f>
        <v>169</v>
      </c>
      <c r="D213" s="8">
        <f t="shared" si="39"/>
        <v>1</v>
      </c>
      <c r="E213" s="7" t="s">
        <v>23</v>
      </c>
      <c r="F213" s="10">
        <v>1</v>
      </c>
      <c r="G213" s="10" t="s">
        <v>34</v>
      </c>
      <c r="H213" s="3" t="str">
        <f t="shared" si="30"/>
        <v>EXECUTE [dbo].[PG_CI_SYS_PERFIL_DEFINICION] 0, 2006,    169, 1, 'FO_SITIO_CONTROL_RECIBO';</v>
      </c>
    </row>
    <row r="214" spans="1:8" hidden="1" x14ac:dyDescent="0.3">
      <c r="A214" s="8">
        <f t="shared" si="29"/>
        <v>0</v>
      </c>
      <c r="B214" s="8">
        <f t="shared" si="31"/>
        <v>2006</v>
      </c>
      <c r="C214" s="8">
        <f t="shared" ref="C214:D214" si="40">C213</f>
        <v>169</v>
      </c>
      <c r="D214" s="8">
        <f t="shared" si="40"/>
        <v>1</v>
      </c>
      <c r="E214" s="7" t="s">
        <v>20</v>
      </c>
      <c r="F214" s="10">
        <v>1</v>
      </c>
      <c r="G214" s="10" t="s">
        <v>34</v>
      </c>
      <c r="H214" s="3" t="str">
        <f t="shared" si="30"/>
        <v>EXECUTE [dbo].[PG_CI_SYS_PERFIL_DEFINICION] 0, 2006,    169, 1, 'FO_RENGLON_RECIBO';</v>
      </c>
    </row>
    <row r="215" spans="1:8" hidden="1" x14ac:dyDescent="0.3">
      <c r="A215" s="8">
        <f t="shared" si="29"/>
        <v>0</v>
      </c>
      <c r="B215" s="8">
        <f t="shared" si="31"/>
        <v>2006</v>
      </c>
      <c r="C215" s="8">
        <f t="shared" ref="C215:D215" si="41">C214</f>
        <v>169</v>
      </c>
      <c r="D215" s="8">
        <f t="shared" si="41"/>
        <v>1</v>
      </c>
      <c r="E215" s="7" t="s">
        <v>19</v>
      </c>
      <c r="F215" s="10">
        <v>1</v>
      </c>
      <c r="G215" s="10" t="s">
        <v>34</v>
      </c>
      <c r="H215" s="3" t="str">
        <f t="shared" si="30"/>
        <v>EXECUTE [dbo].[PG_CI_SYS_PERFIL_DEFINICION] 0, 2006,    169, 1, 'FO_RECIBO';</v>
      </c>
    </row>
    <row r="216" spans="1:8" hidden="1" x14ac:dyDescent="0.3">
      <c r="A216" s="8">
        <f t="shared" si="29"/>
        <v>0</v>
      </c>
      <c r="B216" s="8">
        <f t="shared" si="31"/>
        <v>2006</v>
      </c>
      <c r="C216" s="8">
        <f t="shared" ref="C216:D216" si="42">C215</f>
        <v>169</v>
      </c>
      <c r="D216" s="8">
        <f t="shared" si="42"/>
        <v>1</v>
      </c>
      <c r="E216" s="7" t="s">
        <v>10</v>
      </c>
      <c r="F216" s="10">
        <v>1</v>
      </c>
      <c r="G216" s="10" t="s">
        <v>34</v>
      </c>
      <c r="H216" s="3" t="str">
        <f t="shared" si="30"/>
        <v>EXECUTE [dbo].[PG_CI_SYS_PERFIL_DEFINICION] 0, 2006,    169, 1, 'FO_GENERA_RECIBO_PDF';</v>
      </c>
    </row>
    <row r="217" spans="1:8" hidden="1" x14ac:dyDescent="0.3">
      <c r="A217" s="8">
        <f t="shared" si="29"/>
        <v>0</v>
      </c>
      <c r="B217" s="8">
        <f t="shared" si="31"/>
        <v>2006</v>
      </c>
      <c r="C217" s="8">
        <f t="shared" ref="C217:D217" si="43">C216</f>
        <v>169</v>
      </c>
      <c r="D217" s="8">
        <f t="shared" si="43"/>
        <v>1</v>
      </c>
      <c r="E217" s="7" t="s">
        <v>44</v>
      </c>
      <c r="F217" s="10">
        <v>1</v>
      </c>
      <c r="G217" s="10" t="s">
        <v>34</v>
      </c>
      <c r="H217" s="3" t="str">
        <f t="shared" si="30"/>
        <v>EXECUTE [dbo].[PG_CI_SYS_PERFIL_DEFINICION] 0, 2006,    169, 1, 'FO_GENERA_ESTADO_CUENTA_PDF';</v>
      </c>
    </row>
    <row r="218" spans="1:8" hidden="1" x14ac:dyDescent="0.3">
      <c r="A218" s="8">
        <f t="shared" si="29"/>
        <v>0</v>
      </c>
      <c r="B218" s="8">
        <f t="shared" si="31"/>
        <v>2006</v>
      </c>
      <c r="C218" s="8">
        <f t="shared" ref="C218:D218" si="44">C217</f>
        <v>169</v>
      </c>
      <c r="D218" s="8">
        <f t="shared" si="44"/>
        <v>1</v>
      </c>
      <c r="E218" s="7" t="s">
        <v>15</v>
      </c>
      <c r="F218" s="10">
        <v>1</v>
      </c>
      <c r="G218" s="10" t="s">
        <v>34</v>
      </c>
      <c r="H218" s="3" t="str">
        <f t="shared" si="30"/>
        <v>EXECUTE [dbo].[PG_CI_SYS_PERFIL_DEFINICION] 0, 2006,    169, 1, 'FO_PAGO';</v>
      </c>
    </row>
    <row r="219" spans="1:8" hidden="1" x14ac:dyDescent="0.3">
      <c r="A219" s="8">
        <f t="shared" si="29"/>
        <v>0</v>
      </c>
      <c r="B219" s="8">
        <f t="shared" si="31"/>
        <v>2006</v>
      </c>
      <c r="C219" s="8">
        <f t="shared" ref="C219:D219" si="45">C218</f>
        <v>169</v>
      </c>
      <c r="D219" s="8">
        <f t="shared" si="45"/>
        <v>1</v>
      </c>
      <c r="E219" s="7" t="s">
        <v>3</v>
      </c>
      <c r="F219" s="10">
        <v>1</v>
      </c>
      <c r="G219" s="10" t="s">
        <v>34</v>
      </c>
      <c r="H219" s="3" t="str">
        <f t="shared" si="30"/>
        <v>EXECUTE [dbo].[PG_CI_SYS_PERFIL_DEFINICION] 0, 2006,    169, 1, 'FO_APLICAR_PAGO_CLIENTE';</v>
      </c>
    </row>
    <row r="220" spans="1:8" hidden="1" x14ac:dyDescent="0.3">
      <c r="A220" s="8">
        <f t="shared" si="29"/>
        <v>0</v>
      </c>
      <c r="B220" s="8">
        <f t="shared" si="31"/>
        <v>2006</v>
      </c>
      <c r="C220" s="8">
        <f t="shared" ref="C220:D220" si="46">C219</f>
        <v>169</v>
      </c>
      <c r="D220" s="8">
        <f t="shared" si="46"/>
        <v>1</v>
      </c>
      <c r="E220" s="7" t="s">
        <v>16</v>
      </c>
      <c r="F220" s="10">
        <v>1</v>
      </c>
      <c r="G220" s="10" t="s">
        <v>34</v>
      </c>
      <c r="H220" s="3" t="str">
        <f t="shared" si="30"/>
        <v>EXECUTE [dbo].[PG_CI_SYS_PERFIL_DEFINICION] 0, 2006,    169, 1, 'FO_PAGO_RECIBO';</v>
      </c>
    </row>
    <row r="221" spans="1:8" hidden="1" x14ac:dyDescent="0.3">
      <c r="A221" s="8">
        <f t="shared" si="29"/>
        <v>0</v>
      </c>
      <c r="B221" s="8">
        <f t="shared" si="31"/>
        <v>2006</v>
      </c>
      <c r="C221" s="8">
        <f t="shared" ref="C221:D221" si="47">C220</f>
        <v>169</v>
      </c>
      <c r="D221" s="8">
        <f t="shared" si="47"/>
        <v>1</v>
      </c>
      <c r="E221" s="7" t="s">
        <v>8</v>
      </c>
      <c r="F221" s="10">
        <v>1</v>
      </c>
      <c r="G221" s="10" t="s">
        <v>34</v>
      </c>
      <c r="H221" s="3" t="str">
        <f t="shared" si="30"/>
        <v>EXECUTE [dbo].[PG_CI_SYS_PERFIL_DEFINICION] 0, 2006,    169, 1, 'FO_CLIENTE_DESCONEXION_RECONEXION';</v>
      </c>
    </row>
    <row r="222" spans="1:8" hidden="1" x14ac:dyDescent="0.3">
      <c r="A222" s="8">
        <f t="shared" si="29"/>
        <v>0</v>
      </c>
      <c r="B222" s="8">
        <f t="shared" si="31"/>
        <v>2006</v>
      </c>
      <c r="C222" s="8">
        <f t="shared" ref="C222:D222" si="48">C221</f>
        <v>169</v>
      </c>
      <c r="D222" s="8">
        <f t="shared" si="48"/>
        <v>1</v>
      </c>
      <c r="E222" s="7" t="s">
        <v>5</v>
      </c>
      <c r="F222" s="10">
        <v>1</v>
      </c>
      <c r="G222" s="10" t="s">
        <v>34</v>
      </c>
      <c r="H222" s="3" t="str">
        <f t="shared" si="30"/>
        <v>EXECUTE [dbo].[PG_CI_SYS_PERFIL_DEFINICION] 0, 2006,    169, 1, 'FO_BITACORA_DESCONEXION_RECONEXION';</v>
      </c>
    </row>
    <row r="223" spans="1:8" hidden="1" x14ac:dyDescent="0.3">
      <c r="A223" s="8">
        <f t="shared" si="29"/>
        <v>0</v>
      </c>
      <c r="B223" s="8">
        <f t="shared" si="31"/>
        <v>2006</v>
      </c>
      <c r="C223" s="8">
        <f t="shared" ref="C223:D223" si="49">C222</f>
        <v>169</v>
      </c>
      <c r="D223" s="8">
        <f t="shared" si="49"/>
        <v>1</v>
      </c>
      <c r="E223" s="7" t="s">
        <v>2</v>
      </c>
      <c r="F223" s="10">
        <v>1</v>
      </c>
      <c r="G223" s="10" t="s">
        <v>34</v>
      </c>
      <c r="H223" s="3" t="str">
        <f t="shared" si="30"/>
        <v>EXECUTE [dbo].[PG_CI_SYS_PERFIL_DEFINICION] 0, 2006,    169, 1, 'FO_ALMACEN_SITIO';</v>
      </c>
    </row>
    <row r="224" spans="1:8" hidden="1" x14ac:dyDescent="0.3">
      <c r="A224" s="8">
        <f t="shared" si="29"/>
        <v>0</v>
      </c>
      <c r="B224" s="8">
        <f t="shared" si="31"/>
        <v>2006</v>
      </c>
      <c r="C224" s="8">
        <f t="shared" ref="C224:D224" si="50">C223</f>
        <v>169</v>
      </c>
      <c r="D224" s="8">
        <f t="shared" si="50"/>
        <v>1</v>
      </c>
      <c r="E224" s="7" t="s">
        <v>14</v>
      </c>
      <c r="F224" s="10">
        <v>1</v>
      </c>
      <c r="G224" s="10" t="s">
        <v>34</v>
      </c>
      <c r="H224" s="3" t="str">
        <f t="shared" si="30"/>
        <v>EXECUTE [dbo].[PG_CI_SYS_PERFIL_DEFINICION] 0, 2006,    169, 1, 'FO_MOVIMIENTO_ALMACEN';</v>
      </c>
    </row>
    <row r="225" spans="1:8" hidden="1" x14ac:dyDescent="0.3">
      <c r="A225" s="8">
        <f t="shared" si="29"/>
        <v>0</v>
      </c>
      <c r="B225" s="8">
        <f t="shared" si="31"/>
        <v>2006</v>
      </c>
      <c r="C225" s="8">
        <f t="shared" ref="C225:D225" si="51">C224</f>
        <v>169</v>
      </c>
      <c r="D225" s="8">
        <f t="shared" si="51"/>
        <v>1</v>
      </c>
      <c r="E225" s="7" t="s">
        <v>12</v>
      </c>
      <c r="F225" s="10">
        <v>1</v>
      </c>
      <c r="G225" s="10" t="s">
        <v>34</v>
      </c>
      <c r="H225" s="3" t="str">
        <f t="shared" si="30"/>
        <v>EXECUTE [dbo].[PG_CI_SYS_PERFIL_DEFINICION] 0, 2006,    169, 1, 'FO_HISTORIA_ALMACEN';</v>
      </c>
    </row>
    <row r="226" spans="1:8" hidden="1" x14ac:dyDescent="0.3">
      <c r="A226" s="8">
        <f t="shared" si="29"/>
        <v>0</v>
      </c>
      <c r="B226" s="8">
        <f t="shared" si="31"/>
        <v>2006</v>
      </c>
      <c r="C226" s="8">
        <f t="shared" ref="C226:D226" si="52">C225</f>
        <v>169</v>
      </c>
      <c r="D226" s="8">
        <f t="shared" si="52"/>
        <v>1</v>
      </c>
      <c r="E226" s="7" t="s">
        <v>1</v>
      </c>
      <c r="F226" s="10">
        <v>1</v>
      </c>
      <c r="G226" s="10" t="s">
        <v>34</v>
      </c>
      <c r="H226" s="3" t="str">
        <f t="shared" si="30"/>
        <v>EXECUTE [dbo].[PG_CI_SYS_PERFIL_DEFINICION] 0, 2006,    169, 1, 'FO_ADMINISTRADOR';</v>
      </c>
    </row>
    <row r="227" spans="1:8" hidden="1" x14ac:dyDescent="0.3">
      <c r="A227" s="8">
        <f t="shared" si="29"/>
        <v>0</v>
      </c>
      <c r="B227" s="8">
        <f t="shared" si="31"/>
        <v>2006</v>
      </c>
      <c r="C227" s="8">
        <f t="shared" ref="C227:D227" si="53">C226</f>
        <v>169</v>
      </c>
      <c r="D227" s="8">
        <f t="shared" si="53"/>
        <v>1</v>
      </c>
      <c r="E227" s="7" t="s">
        <v>22</v>
      </c>
      <c r="F227" s="10">
        <v>1</v>
      </c>
      <c r="G227" s="10" t="s">
        <v>34</v>
      </c>
      <c r="H227" s="3" t="str">
        <f t="shared" si="30"/>
        <v>EXECUTE [dbo].[PG_CI_SYS_PERFIL_DEFINICION] 0, 2006,    169, 1, 'FO_SITIO_ADMINISTRADOR';</v>
      </c>
    </row>
    <row r="228" spans="1:8" hidden="1" x14ac:dyDescent="0.3">
      <c r="A228" s="8">
        <f t="shared" si="29"/>
        <v>0</v>
      </c>
      <c r="B228" s="8">
        <f t="shared" si="31"/>
        <v>2006</v>
      </c>
      <c r="C228" s="8">
        <f t="shared" ref="C228:D228" si="54">C227</f>
        <v>169</v>
      </c>
      <c r="D228" s="8">
        <f t="shared" si="54"/>
        <v>1</v>
      </c>
      <c r="E228" s="7" t="s">
        <v>11</v>
      </c>
      <c r="F228" s="10">
        <v>1</v>
      </c>
      <c r="G228" s="10" t="s">
        <v>34</v>
      </c>
      <c r="H228" s="3" t="str">
        <f t="shared" si="30"/>
        <v>EXECUTE [dbo].[PG_CI_SYS_PERFIL_DEFINICION] 0, 2006,    169, 1, 'FO_GENERAR_COMISION';</v>
      </c>
    </row>
    <row r="229" spans="1:8" hidden="1" x14ac:dyDescent="0.3">
      <c r="A229" s="8">
        <f t="shared" si="29"/>
        <v>0</v>
      </c>
      <c r="B229" s="8">
        <f t="shared" si="31"/>
        <v>2006</v>
      </c>
      <c r="C229" s="8">
        <f t="shared" ref="C229:D229" si="55">C228</f>
        <v>169</v>
      </c>
      <c r="D229" s="8">
        <f t="shared" si="55"/>
        <v>1</v>
      </c>
      <c r="E229" s="7" t="s">
        <v>4</v>
      </c>
      <c r="F229" s="10">
        <v>1</v>
      </c>
      <c r="G229" s="10" t="s">
        <v>34</v>
      </c>
      <c r="H229" s="3" t="str">
        <f t="shared" si="30"/>
        <v>EXECUTE [dbo].[PG_CI_SYS_PERFIL_DEFINICION] 0, 2006,    169, 1, 'FO_BITACORA_COMISION';</v>
      </c>
    </row>
    <row r="230" spans="1:8" hidden="1" x14ac:dyDescent="0.3">
      <c r="D230" s="11"/>
      <c r="G230" s="10" t="s">
        <v>34</v>
      </c>
      <c r="H230" s="2" t="s">
        <v>32</v>
      </c>
    </row>
    <row r="231" spans="1:8" hidden="1" x14ac:dyDescent="0.3">
      <c r="A231" s="14"/>
      <c r="B231" s="15"/>
      <c r="C231" s="15"/>
      <c r="D231" s="15"/>
      <c r="E231" s="16"/>
      <c r="F231" s="15"/>
      <c r="G231" s="15"/>
      <c r="H231" s="17" t="s">
        <v>41</v>
      </c>
    </row>
    <row r="232" spans="1:8" hidden="1" x14ac:dyDescent="0.3">
      <c r="A232" s="8">
        <f>$A$1</f>
        <v>0</v>
      </c>
      <c r="B232" s="8">
        <f>$B$1</f>
        <v>2006</v>
      </c>
      <c r="C232" s="12">
        <v>177</v>
      </c>
      <c r="D232" s="10">
        <v>1</v>
      </c>
      <c r="E232" s="7" t="s">
        <v>25</v>
      </c>
      <c r="F232" s="10">
        <v>1</v>
      </c>
      <c r="G232" s="10" t="s">
        <v>34</v>
      </c>
      <c r="H232" s="3" t="str">
        <f>CONCATENATE("EXECUTE [dbo].[PG_CI_SYS_PERFIL_DEFINICION] ",A232,", ",B232,",    ",C232,", ",D232,", '",E232,"';" )</f>
        <v>EXECUTE [dbo].[PG_CI_SYS_PERFIL_DEFINICION] 0, 2006,    177, 1, 'FO_NOMBRE';</v>
      </c>
    </row>
    <row r="233" spans="1:8" hidden="1" x14ac:dyDescent="0.3">
      <c r="A233" s="8">
        <f t="shared" ref="A233:A257" si="56">$A$1</f>
        <v>0</v>
      </c>
      <c r="B233" s="8">
        <f>$B$1</f>
        <v>2006</v>
      </c>
      <c r="C233" s="8">
        <f>C232</f>
        <v>177</v>
      </c>
      <c r="D233" s="8">
        <f>D232</f>
        <v>1</v>
      </c>
      <c r="E233" s="7" t="s">
        <v>18</v>
      </c>
      <c r="F233" s="10">
        <v>1</v>
      </c>
      <c r="G233" s="10" t="s">
        <v>34</v>
      </c>
      <c r="H233" s="3" t="str">
        <f t="shared" ref="H233:H257" si="57">CONCATENATE("EXECUTE [dbo].[PG_CI_SYS_PERFIL_DEFINICION] ",A233,", ",B233,",    ",C233,", ",D233,", '",E233,"';" )</f>
        <v>EXECUTE [dbo].[PG_CI_SYS_PERFIL_DEFINICION] 0, 2006,    177, 1, 'FO_PRODUCTO';</v>
      </c>
    </row>
    <row r="234" spans="1:8" hidden="1" x14ac:dyDescent="0.3">
      <c r="A234" s="8">
        <f t="shared" si="56"/>
        <v>0</v>
      </c>
      <c r="B234" s="8">
        <f t="shared" ref="B234:B257" si="58">$B$1</f>
        <v>2006</v>
      </c>
      <c r="C234" s="8">
        <f t="shared" ref="C234:D234" si="59">C233</f>
        <v>177</v>
      </c>
      <c r="D234" s="8">
        <f t="shared" si="59"/>
        <v>1</v>
      </c>
      <c r="E234" s="7" t="s">
        <v>24</v>
      </c>
      <c r="F234" s="10">
        <v>1</v>
      </c>
      <c r="G234" s="10" t="s">
        <v>34</v>
      </c>
      <c r="H234" s="3" t="str">
        <f t="shared" si="57"/>
        <v>EXECUTE [dbo].[PG_CI_SYS_PERFIL_DEFINICION] 0, 2006,    177, 1, 'FO_TASA_IMPUESTO';</v>
      </c>
    </row>
    <row r="235" spans="1:8" hidden="1" x14ac:dyDescent="0.3">
      <c r="A235" s="8">
        <f t="shared" si="56"/>
        <v>0</v>
      </c>
      <c r="B235" s="8">
        <f t="shared" si="58"/>
        <v>2006</v>
      </c>
      <c r="C235" s="8">
        <f t="shared" ref="C235:D235" si="60">C234</f>
        <v>177</v>
      </c>
      <c r="D235" s="8">
        <f t="shared" si="60"/>
        <v>1</v>
      </c>
      <c r="E235" s="7" t="s">
        <v>17</v>
      </c>
      <c r="F235" s="10">
        <v>1</v>
      </c>
      <c r="G235" s="10" t="s">
        <v>34</v>
      </c>
      <c r="H235" s="3" t="str">
        <f t="shared" si="57"/>
        <v>EXECUTE [dbo].[PG_CI_SYS_PERFIL_DEFINICION] 0, 2006,    177, 1, 'FO_PRECIO';</v>
      </c>
    </row>
    <row r="236" spans="1:8" hidden="1" x14ac:dyDescent="0.3">
      <c r="A236" s="8">
        <f t="shared" si="56"/>
        <v>0</v>
      </c>
      <c r="B236" s="8">
        <f t="shared" si="58"/>
        <v>2006</v>
      </c>
      <c r="C236" s="8">
        <f t="shared" ref="C236:D236" si="61">C235</f>
        <v>177</v>
      </c>
      <c r="D236" s="8">
        <f t="shared" si="61"/>
        <v>1</v>
      </c>
      <c r="E236" s="7" t="s">
        <v>21</v>
      </c>
      <c r="F236" s="10">
        <v>1</v>
      </c>
      <c r="G236" s="10" t="s">
        <v>34</v>
      </c>
      <c r="H236" s="3" t="str">
        <f t="shared" si="57"/>
        <v>EXECUTE [dbo].[PG_CI_SYS_PERFIL_DEFINICION] 0, 2006,    177, 1, 'FO_SITIO';</v>
      </c>
    </row>
    <row r="237" spans="1:8" hidden="1" x14ac:dyDescent="0.3">
      <c r="A237" s="8">
        <f t="shared" si="56"/>
        <v>0</v>
      </c>
      <c r="B237" s="8">
        <f t="shared" si="58"/>
        <v>2006</v>
      </c>
      <c r="C237" s="8">
        <f t="shared" ref="C237:D237" si="62">C236</f>
        <v>177</v>
      </c>
      <c r="D237" s="8">
        <f t="shared" si="62"/>
        <v>1</v>
      </c>
      <c r="E237" s="7" t="s">
        <v>7</v>
      </c>
      <c r="F237" s="10">
        <v>1</v>
      </c>
      <c r="G237" s="10" t="s">
        <v>34</v>
      </c>
      <c r="H237" s="3" t="str">
        <f t="shared" si="57"/>
        <v>EXECUTE [dbo].[PG_CI_SYS_PERFIL_DEFINICION] 0, 2006,    177, 1, 'FO_CLIENTE';</v>
      </c>
    </row>
    <row r="238" spans="1:8" hidden="1" x14ac:dyDescent="0.3">
      <c r="A238" s="8">
        <f t="shared" si="56"/>
        <v>0</v>
      </c>
      <c r="B238" s="8">
        <f t="shared" si="58"/>
        <v>2006</v>
      </c>
      <c r="C238" s="8">
        <f t="shared" ref="C238:D238" si="63">C237</f>
        <v>177</v>
      </c>
      <c r="D238" s="8">
        <f t="shared" si="63"/>
        <v>1</v>
      </c>
      <c r="E238" s="7" t="s">
        <v>6</v>
      </c>
      <c r="F238" s="10">
        <v>1</v>
      </c>
      <c r="G238" s="10" t="s">
        <v>34</v>
      </c>
      <c r="H238" s="3" t="str">
        <f t="shared" si="57"/>
        <v>EXECUTE [dbo].[PG_CI_SYS_PERFIL_DEFINICION] 0, 2006,    177, 1, 'FO_CARGO';</v>
      </c>
    </row>
    <row r="239" spans="1:8" hidden="1" x14ac:dyDescent="0.3">
      <c r="A239" s="8">
        <f t="shared" si="56"/>
        <v>0</v>
      </c>
      <c r="B239" s="8">
        <f t="shared" si="58"/>
        <v>2006</v>
      </c>
      <c r="C239" s="8">
        <f t="shared" ref="C239:D239" si="64">C238</f>
        <v>177</v>
      </c>
      <c r="D239" s="8">
        <f t="shared" si="64"/>
        <v>1</v>
      </c>
      <c r="E239" s="7" t="s">
        <v>9</v>
      </c>
      <c r="F239" s="10">
        <v>1</v>
      </c>
      <c r="G239" s="10" t="s">
        <v>34</v>
      </c>
      <c r="H239" s="3" t="str">
        <f t="shared" si="57"/>
        <v>EXECUTE [dbo].[PG_CI_SYS_PERFIL_DEFINICION] 0, 2006,    177, 1, 'FO_CONDICION_COMERCIAL';</v>
      </c>
    </row>
    <row r="240" spans="1:8" hidden="1" x14ac:dyDescent="0.3">
      <c r="A240" s="8">
        <f t="shared" si="56"/>
        <v>0</v>
      </c>
      <c r="B240" s="8">
        <f t="shared" si="58"/>
        <v>2006</v>
      </c>
      <c r="C240" s="8">
        <f t="shared" ref="C240:D240" si="65">C239</f>
        <v>177</v>
      </c>
      <c r="D240" s="8">
        <f t="shared" si="65"/>
        <v>1</v>
      </c>
      <c r="E240" s="7" t="s">
        <v>13</v>
      </c>
      <c r="F240" s="10">
        <v>1</v>
      </c>
      <c r="G240" s="10" t="s">
        <v>34</v>
      </c>
      <c r="H240" s="3" t="str">
        <f t="shared" si="57"/>
        <v>EXECUTE [dbo].[PG_CI_SYS_PERFIL_DEFINICION] 0, 2006,    177, 1, 'FO_LECTURA';</v>
      </c>
    </row>
    <row r="241" spans="1:8" hidden="1" x14ac:dyDescent="0.3">
      <c r="A241" s="8">
        <f t="shared" si="56"/>
        <v>0</v>
      </c>
      <c r="B241" s="8">
        <f t="shared" si="58"/>
        <v>2006</v>
      </c>
      <c r="C241" s="8">
        <f t="shared" ref="C241:D241" si="66">C240</f>
        <v>177</v>
      </c>
      <c r="D241" s="8">
        <f t="shared" si="66"/>
        <v>1</v>
      </c>
      <c r="E241" s="7" t="s">
        <v>23</v>
      </c>
      <c r="F241" s="10">
        <v>1</v>
      </c>
      <c r="G241" s="10" t="s">
        <v>34</v>
      </c>
      <c r="H241" s="3" t="str">
        <f t="shared" si="57"/>
        <v>EXECUTE [dbo].[PG_CI_SYS_PERFIL_DEFINICION] 0, 2006,    177, 1, 'FO_SITIO_CONTROL_RECIBO';</v>
      </c>
    </row>
    <row r="242" spans="1:8" hidden="1" x14ac:dyDescent="0.3">
      <c r="A242" s="8">
        <f t="shared" si="56"/>
        <v>0</v>
      </c>
      <c r="B242" s="8">
        <f t="shared" si="58"/>
        <v>2006</v>
      </c>
      <c r="C242" s="8">
        <f t="shared" ref="C242:D242" si="67">C241</f>
        <v>177</v>
      </c>
      <c r="D242" s="8">
        <f t="shared" si="67"/>
        <v>1</v>
      </c>
      <c r="E242" s="7" t="s">
        <v>20</v>
      </c>
      <c r="F242" s="10">
        <v>1</v>
      </c>
      <c r="G242" s="10" t="s">
        <v>34</v>
      </c>
      <c r="H242" s="3" t="str">
        <f t="shared" si="57"/>
        <v>EXECUTE [dbo].[PG_CI_SYS_PERFIL_DEFINICION] 0, 2006,    177, 1, 'FO_RENGLON_RECIBO';</v>
      </c>
    </row>
    <row r="243" spans="1:8" hidden="1" x14ac:dyDescent="0.3">
      <c r="A243" s="8">
        <f t="shared" si="56"/>
        <v>0</v>
      </c>
      <c r="B243" s="8">
        <f t="shared" si="58"/>
        <v>2006</v>
      </c>
      <c r="C243" s="8">
        <f t="shared" ref="C243:D243" si="68">C242</f>
        <v>177</v>
      </c>
      <c r="D243" s="8">
        <f t="shared" si="68"/>
        <v>1</v>
      </c>
      <c r="E243" s="7" t="s">
        <v>19</v>
      </c>
      <c r="F243" s="10">
        <v>1</v>
      </c>
      <c r="G243" s="10" t="s">
        <v>34</v>
      </c>
      <c r="H243" s="3" t="str">
        <f t="shared" si="57"/>
        <v>EXECUTE [dbo].[PG_CI_SYS_PERFIL_DEFINICION] 0, 2006,    177, 1, 'FO_RECIBO';</v>
      </c>
    </row>
    <row r="244" spans="1:8" hidden="1" x14ac:dyDescent="0.3">
      <c r="A244" s="8">
        <f t="shared" si="56"/>
        <v>0</v>
      </c>
      <c r="B244" s="8">
        <f t="shared" si="58"/>
        <v>2006</v>
      </c>
      <c r="C244" s="8">
        <f t="shared" ref="C244:D244" si="69">C243</f>
        <v>177</v>
      </c>
      <c r="D244" s="8">
        <f t="shared" si="69"/>
        <v>1</v>
      </c>
      <c r="E244" s="7" t="s">
        <v>10</v>
      </c>
      <c r="F244" s="10">
        <v>1</v>
      </c>
      <c r="G244" s="10" t="s">
        <v>34</v>
      </c>
      <c r="H244" s="3" t="str">
        <f t="shared" si="57"/>
        <v>EXECUTE [dbo].[PG_CI_SYS_PERFIL_DEFINICION] 0, 2006,    177, 1, 'FO_GENERA_RECIBO_PDF';</v>
      </c>
    </row>
    <row r="245" spans="1:8" hidden="1" x14ac:dyDescent="0.3">
      <c r="A245" s="8">
        <f t="shared" si="56"/>
        <v>0</v>
      </c>
      <c r="B245" s="8">
        <f t="shared" si="58"/>
        <v>2006</v>
      </c>
      <c r="C245" s="8">
        <f t="shared" ref="C245:D245" si="70">C244</f>
        <v>177</v>
      </c>
      <c r="D245" s="8">
        <f t="shared" si="70"/>
        <v>1</v>
      </c>
      <c r="E245" s="7" t="s">
        <v>44</v>
      </c>
      <c r="F245" s="10">
        <v>1</v>
      </c>
      <c r="G245" s="10" t="s">
        <v>34</v>
      </c>
      <c r="H245" s="3" t="str">
        <f t="shared" si="57"/>
        <v>EXECUTE [dbo].[PG_CI_SYS_PERFIL_DEFINICION] 0, 2006,    177, 1, 'FO_GENERA_ESTADO_CUENTA_PDF';</v>
      </c>
    </row>
    <row r="246" spans="1:8" hidden="1" x14ac:dyDescent="0.3">
      <c r="A246" s="8">
        <f t="shared" si="56"/>
        <v>0</v>
      </c>
      <c r="B246" s="8">
        <f t="shared" si="58"/>
        <v>2006</v>
      </c>
      <c r="C246" s="8">
        <f t="shared" ref="C246:D246" si="71">C245</f>
        <v>177</v>
      </c>
      <c r="D246" s="8">
        <f t="shared" si="71"/>
        <v>1</v>
      </c>
      <c r="E246" s="7" t="s">
        <v>15</v>
      </c>
      <c r="F246" s="10">
        <v>1</v>
      </c>
      <c r="G246" s="10" t="s">
        <v>34</v>
      </c>
      <c r="H246" s="3" t="str">
        <f t="shared" si="57"/>
        <v>EXECUTE [dbo].[PG_CI_SYS_PERFIL_DEFINICION] 0, 2006,    177, 1, 'FO_PAGO';</v>
      </c>
    </row>
    <row r="247" spans="1:8" hidden="1" x14ac:dyDescent="0.3">
      <c r="A247" s="8">
        <f t="shared" si="56"/>
        <v>0</v>
      </c>
      <c r="B247" s="8">
        <f t="shared" si="58"/>
        <v>2006</v>
      </c>
      <c r="C247" s="8">
        <f t="shared" ref="C247:D247" si="72">C246</f>
        <v>177</v>
      </c>
      <c r="D247" s="8">
        <f t="shared" si="72"/>
        <v>1</v>
      </c>
      <c r="E247" s="7" t="s">
        <v>3</v>
      </c>
      <c r="F247" s="10">
        <v>1</v>
      </c>
      <c r="G247" s="10" t="s">
        <v>34</v>
      </c>
      <c r="H247" s="3" t="str">
        <f t="shared" si="57"/>
        <v>EXECUTE [dbo].[PG_CI_SYS_PERFIL_DEFINICION] 0, 2006,    177, 1, 'FO_APLICAR_PAGO_CLIENTE';</v>
      </c>
    </row>
    <row r="248" spans="1:8" hidden="1" x14ac:dyDescent="0.3">
      <c r="A248" s="8">
        <f t="shared" si="56"/>
        <v>0</v>
      </c>
      <c r="B248" s="8">
        <f t="shared" si="58"/>
        <v>2006</v>
      </c>
      <c r="C248" s="8">
        <f t="shared" ref="C248:D248" si="73">C247</f>
        <v>177</v>
      </c>
      <c r="D248" s="8">
        <f t="shared" si="73"/>
        <v>1</v>
      </c>
      <c r="E248" s="7" t="s">
        <v>16</v>
      </c>
      <c r="F248" s="10">
        <v>1</v>
      </c>
      <c r="G248" s="10" t="s">
        <v>34</v>
      </c>
      <c r="H248" s="3" t="str">
        <f t="shared" si="57"/>
        <v>EXECUTE [dbo].[PG_CI_SYS_PERFIL_DEFINICION] 0, 2006,    177, 1, 'FO_PAGO_RECIBO';</v>
      </c>
    </row>
    <row r="249" spans="1:8" hidden="1" x14ac:dyDescent="0.3">
      <c r="A249" s="8">
        <f t="shared" si="56"/>
        <v>0</v>
      </c>
      <c r="B249" s="8">
        <f t="shared" si="58"/>
        <v>2006</v>
      </c>
      <c r="C249" s="8">
        <f t="shared" ref="C249:D249" si="74">C248</f>
        <v>177</v>
      </c>
      <c r="D249" s="8">
        <f t="shared" si="74"/>
        <v>1</v>
      </c>
      <c r="E249" s="7" t="s">
        <v>8</v>
      </c>
      <c r="F249" s="10">
        <v>1</v>
      </c>
      <c r="G249" s="10" t="s">
        <v>34</v>
      </c>
      <c r="H249" s="3" t="str">
        <f t="shared" si="57"/>
        <v>EXECUTE [dbo].[PG_CI_SYS_PERFIL_DEFINICION] 0, 2006,    177, 1, 'FO_CLIENTE_DESCONEXION_RECONEXION';</v>
      </c>
    </row>
    <row r="250" spans="1:8" hidden="1" x14ac:dyDescent="0.3">
      <c r="A250" s="8">
        <f t="shared" si="56"/>
        <v>0</v>
      </c>
      <c r="B250" s="8">
        <f t="shared" si="58"/>
        <v>2006</v>
      </c>
      <c r="C250" s="8">
        <f t="shared" ref="C250:D250" si="75">C249</f>
        <v>177</v>
      </c>
      <c r="D250" s="8">
        <f t="shared" si="75"/>
        <v>1</v>
      </c>
      <c r="E250" s="7" t="s">
        <v>5</v>
      </c>
      <c r="F250" s="10">
        <v>1</v>
      </c>
      <c r="G250" s="10" t="s">
        <v>34</v>
      </c>
      <c r="H250" s="3" t="str">
        <f t="shared" si="57"/>
        <v>EXECUTE [dbo].[PG_CI_SYS_PERFIL_DEFINICION] 0, 2006,    177, 1, 'FO_BITACORA_DESCONEXION_RECONEXION';</v>
      </c>
    </row>
    <row r="251" spans="1:8" hidden="1" x14ac:dyDescent="0.3">
      <c r="A251" s="8">
        <f t="shared" si="56"/>
        <v>0</v>
      </c>
      <c r="B251" s="8">
        <f t="shared" si="58"/>
        <v>2006</v>
      </c>
      <c r="C251" s="8">
        <f t="shared" ref="C251:D251" si="76">C250</f>
        <v>177</v>
      </c>
      <c r="D251" s="8">
        <f t="shared" si="76"/>
        <v>1</v>
      </c>
      <c r="E251" s="7" t="s">
        <v>2</v>
      </c>
      <c r="F251" s="10">
        <v>1</v>
      </c>
      <c r="G251" s="10" t="s">
        <v>34</v>
      </c>
      <c r="H251" s="3" t="str">
        <f t="shared" si="57"/>
        <v>EXECUTE [dbo].[PG_CI_SYS_PERFIL_DEFINICION] 0, 2006,    177, 1, 'FO_ALMACEN_SITIO';</v>
      </c>
    </row>
    <row r="252" spans="1:8" hidden="1" x14ac:dyDescent="0.3">
      <c r="A252" s="8">
        <f t="shared" si="56"/>
        <v>0</v>
      </c>
      <c r="B252" s="8">
        <f t="shared" si="58"/>
        <v>2006</v>
      </c>
      <c r="C252" s="8">
        <f t="shared" ref="C252:D252" si="77">C251</f>
        <v>177</v>
      </c>
      <c r="D252" s="8">
        <f t="shared" si="77"/>
        <v>1</v>
      </c>
      <c r="E252" s="7" t="s">
        <v>14</v>
      </c>
      <c r="F252" s="10">
        <v>1</v>
      </c>
      <c r="G252" s="10" t="s">
        <v>34</v>
      </c>
      <c r="H252" s="3" t="str">
        <f t="shared" si="57"/>
        <v>EXECUTE [dbo].[PG_CI_SYS_PERFIL_DEFINICION] 0, 2006,    177, 1, 'FO_MOVIMIENTO_ALMACEN';</v>
      </c>
    </row>
    <row r="253" spans="1:8" hidden="1" x14ac:dyDescent="0.3">
      <c r="A253" s="8">
        <f t="shared" si="56"/>
        <v>0</v>
      </c>
      <c r="B253" s="8">
        <f t="shared" si="58"/>
        <v>2006</v>
      </c>
      <c r="C253" s="8">
        <f t="shared" ref="C253:D253" si="78">C252</f>
        <v>177</v>
      </c>
      <c r="D253" s="8">
        <f t="shared" si="78"/>
        <v>1</v>
      </c>
      <c r="E253" s="7" t="s">
        <v>12</v>
      </c>
      <c r="F253" s="10">
        <v>1</v>
      </c>
      <c r="G253" s="10" t="s">
        <v>34</v>
      </c>
      <c r="H253" s="3" t="str">
        <f t="shared" si="57"/>
        <v>EXECUTE [dbo].[PG_CI_SYS_PERFIL_DEFINICION] 0, 2006,    177, 1, 'FO_HISTORIA_ALMACEN';</v>
      </c>
    </row>
    <row r="254" spans="1:8" hidden="1" x14ac:dyDescent="0.3">
      <c r="A254" s="8">
        <f t="shared" si="56"/>
        <v>0</v>
      </c>
      <c r="B254" s="8">
        <f t="shared" si="58"/>
        <v>2006</v>
      </c>
      <c r="C254" s="8">
        <f t="shared" ref="C254:D254" si="79">C253</f>
        <v>177</v>
      </c>
      <c r="D254" s="8">
        <f t="shared" si="79"/>
        <v>1</v>
      </c>
      <c r="E254" s="7" t="s">
        <v>1</v>
      </c>
      <c r="F254" s="10">
        <v>1</v>
      </c>
      <c r="G254" s="10" t="s">
        <v>34</v>
      </c>
      <c r="H254" s="3" t="str">
        <f t="shared" si="57"/>
        <v>EXECUTE [dbo].[PG_CI_SYS_PERFIL_DEFINICION] 0, 2006,    177, 1, 'FO_ADMINISTRADOR';</v>
      </c>
    </row>
    <row r="255" spans="1:8" hidden="1" x14ac:dyDescent="0.3">
      <c r="A255" s="8">
        <f t="shared" si="56"/>
        <v>0</v>
      </c>
      <c r="B255" s="8">
        <f t="shared" si="58"/>
        <v>2006</v>
      </c>
      <c r="C255" s="8">
        <f t="shared" ref="C255:D255" si="80">C254</f>
        <v>177</v>
      </c>
      <c r="D255" s="8">
        <f t="shared" si="80"/>
        <v>1</v>
      </c>
      <c r="E255" s="7" t="s">
        <v>22</v>
      </c>
      <c r="F255" s="10">
        <v>1</v>
      </c>
      <c r="G255" s="10" t="s">
        <v>34</v>
      </c>
      <c r="H255" s="3" t="str">
        <f t="shared" si="57"/>
        <v>EXECUTE [dbo].[PG_CI_SYS_PERFIL_DEFINICION] 0, 2006,    177, 1, 'FO_SITIO_ADMINISTRADOR';</v>
      </c>
    </row>
    <row r="256" spans="1:8" hidden="1" x14ac:dyDescent="0.3">
      <c r="A256" s="8">
        <f t="shared" si="56"/>
        <v>0</v>
      </c>
      <c r="B256" s="8">
        <f t="shared" si="58"/>
        <v>2006</v>
      </c>
      <c r="C256" s="8">
        <f t="shared" ref="C256:D256" si="81">C255</f>
        <v>177</v>
      </c>
      <c r="D256" s="8">
        <f t="shared" si="81"/>
        <v>1</v>
      </c>
      <c r="E256" s="7" t="s">
        <v>11</v>
      </c>
      <c r="F256" s="10">
        <v>1</v>
      </c>
      <c r="G256" s="10" t="s">
        <v>34</v>
      </c>
      <c r="H256" s="3" t="str">
        <f t="shared" si="57"/>
        <v>EXECUTE [dbo].[PG_CI_SYS_PERFIL_DEFINICION] 0, 2006,    177, 1, 'FO_GENERAR_COMISION';</v>
      </c>
    </row>
    <row r="257" spans="1:8" hidden="1" x14ac:dyDescent="0.3">
      <c r="A257" s="8">
        <f t="shared" si="56"/>
        <v>0</v>
      </c>
      <c r="B257" s="8">
        <f t="shared" si="58"/>
        <v>2006</v>
      </c>
      <c r="C257" s="8">
        <f t="shared" ref="C257:D257" si="82">C256</f>
        <v>177</v>
      </c>
      <c r="D257" s="8">
        <f t="shared" si="82"/>
        <v>1</v>
      </c>
      <c r="E257" s="7" t="s">
        <v>4</v>
      </c>
      <c r="F257" s="10">
        <v>1</v>
      </c>
      <c r="G257" s="10" t="s">
        <v>34</v>
      </c>
      <c r="H257" s="3" t="str">
        <f t="shared" si="57"/>
        <v>EXECUTE [dbo].[PG_CI_SYS_PERFIL_DEFINICION] 0, 2006,    177, 1, 'FO_BITACORA_COMISION';</v>
      </c>
    </row>
    <row r="258" spans="1:8" hidden="1" x14ac:dyDescent="0.3">
      <c r="D258" s="11"/>
      <c r="G258" s="10" t="s">
        <v>34</v>
      </c>
      <c r="H258" s="2" t="s">
        <v>32</v>
      </c>
    </row>
  </sheetData>
  <autoFilter ref="A2:AC258">
    <filterColumn colId="6">
      <filters>
        <filter val="UNIGAS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</dc:creator>
  <cp:lastModifiedBy>Hector A. Gonzalez</cp:lastModifiedBy>
  <dcterms:created xsi:type="dcterms:W3CDTF">2017-11-29T18:04:32Z</dcterms:created>
  <dcterms:modified xsi:type="dcterms:W3CDTF">2019-04-26T00:06:23Z</dcterms:modified>
</cp:coreProperties>
</file>