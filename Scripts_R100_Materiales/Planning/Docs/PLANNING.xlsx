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 Esteban\Documents\CLASIFICACION_PIELES\Scripts_R100_Materiales\Planning\Docs\"/>
    </mc:Choice>
  </mc:AlternateContent>
  <xr:revisionPtr revIDLastSave="0" documentId="13_ncr:1_{1FDE6C61-B497-4826-A3FE-D980FC19DA68}" xr6:coauthVersionLast="46" xr6:coauthVersionMax="46" xr10:uidLastSave="{00000000-0000-0000-0000-000000000000}"/>
  <bookViews>
    <workbookView xWindow="-28920" yWindow="-120" windowWidth="29040" windowHeight="15840" xr2:uid="{A2DC3EDC-0351-4EAA-800D-47AE36004B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1" l="1"/>
  <c r="G15" i="1"/>
  <c r="M12" i="1"/>
  <c r="K12" i="1"/>
  <c r="I12" i="1"/>
  <c r="M6" i="1"/>
  <c r="M7" i="1"/>
  <c r="M8" i="1"/>
  <c r="M9" i="1"/>
  <c r="M10" i="1"/>
  <c r="M11" i="1"/>
  <c r="M13" i="1"/>
  <c r="M14" i="1"/>
  <c r="M5" i="1"/>
  <c r="K6" i="1"/>
  <c r="K7" i="1"/>
  <c r="K8" i="1"/>
  <c r="K9" i="1"/>
  <c r="K10" i="1"/>
  <c r="K11" i="1"/>
  <c r="K13" i="1"/>
  <c r="K14" i="1"/>
  <c r="K5" i="1"/>
  <c r="I6" i="1"/>
  <c r="I7" i="1"/>
  <c r="I8" i="1"/>
  <c r="I9" i="1"/>
  <c r="I10" i="1"/>
  <c r="I11" i="1"/>
  <c r="I13" i="1"/>
  <c r="I14" i="1"/>
  <c r="I5" i="1"/>
  <c r="I15" i="1" l="1"/>
  <c r="K15" i="1"/>
  <c r="M15" i="1"/>
</calcChain>
</file>

<file path=xl/sharedStrings.xml><?xml version="1.0" encoding="utf-8"?>
<sst xmlns="http://schemas.openxmlformats.org/spreadsheetml/2006/main" count="217" uniqueCount="75">
  <si>
    <t>jobno</t>
  </si>
  <si>
    <t>status</t>
  </si>
  <si>
    <t>colour</t>
  </si>
  <si>
    <t>colourdesc</t>
  </si>
  <si>
    <t>machine</t>
  </si>
  <si>
    <t>datecreated</t>
  </si>
  <si>
    <t>dateplanned</t>
  </si>
  <si>
    <t>datecompleted</t>
  </si>
  <si>
    <t>printedflag</t>
  </si>
  <si>
    <t>instruct1</t>
  </si>
  <si>
    <t>instruct2</t>
  </si>
  <si>
    <t>netsqm</t>
  </si>
  <si>
    <t>standardsqm</t>
  </si>
  <si>
    <t>actualsqm</t>
  </si>
  <si>
    <t>targetutil</t>
  </si>
  <si>
    <t>customer</t>
  </si>
  <si>
    <t>patterns</t>
  </si>
  <si>
    <t>plannedshift</t>
  </si>
  <si>
    <t>plannedseq</t>
  </si>
  <si>
    <t>startedflag</t>
  </si>
  <si>
    <t>comments</t>
  </si>
  <si>
    <t>lotno</t>
  </si>
  <si>
    <t>folio</t>
  </si>
  <si>
    <t>P</t>
  </si>
  <si>
    <t xml:space="preserve">CNPJRR </t>
  </si>
  <si>
    <t xml:space="preserve">CHRYSLER NAPPA JRR                                </t>
  </si>
  <si>
    <t xml:space="preserve">Table 37       </t>
  </si>
  <si>
    <t>NULL</t>
  </si>
  <si>
    <t xml:space="preserve">GENERA POR SISTEMAS PARA PRUEBAS                  </t>
  </si>
  <si>
    <t xml:space="preserve">                                                  </t>
  </si>
  <si>
    <t>MAGN03</t>
  </si>
  <si>
    <t xml:space="preserve"> </t>
  </si>
  <si>
    <t xml:space="preserve">GENERA POR SISTEMAS PARA PRUEBAS                                                                                                                                                                                                                               </t>
  </si>
  <si>
    <t>Kit</t>
  </si>
  <si>
    <t>KitDesc</t>
  </si>
  <si>
    <t>Item_No</t>
  </si>
  <si>
    <t>PlannedQty</t>
  </si>
  <si>
    <t>CompletedQty</t>
  </si>
  <si>
    <t>OriginalQty</t>
  </si>
  <si>
    <t>netsqmper</t>
  </si>
  <si>
    <t>stdsqmper</t>
  </si>
  <si>
    <t>patternsper</t>
  </si>
  <si>
    <t>ChangeLevel</t>
  </si>
  <si>
    <t>User_def_Fld1</t>
  </si>
  <si>
    <t>Ser_No</t>
  </si>
  <si>
    <t>col_key</t>
  </si>
  <si>
    <t xml:space="preserve">PWD2TFB </t>
  </si>
  <si>
    <t xml:space="preserve">WD ML 2T  FT.  BACK RH                  </t>
  </si>
  <si>
    <t xml:space="preserve">PWD2TFBCNPJRR  </t>
  </si>
  <si>
    <t>WD20006</t>
  </si>
  <si>
    <t xml:space="preserve">PWD2TBL </t>
  </si>
  <si>
    <t xml:space="preserve">WD ML 2T FT. BACK LH                    </t>
  </si>
  <si>
    <t xml:space="preserve">PWD2TBLCNPJRR  </t>
  </si>
  <si>
    <t xml:space="preserve">PWD2TCR </t>
  </si>
  <si>
    <t xml:space="preserve">WD ML 2T FT. CUSH. RH                   </t>
  </si>
  <si>
    <t xml:space="preserve">PWD2TCRCNPJRR  </t>
  </si>
  <si>
    <t>WD20011</t>
  </si>
  <si>
    <t xml:space="preserve">PWD2TCL </t>
  </si>
  <si>
    <t xml:space="preserve">WD ML 2T FT. CUSH. LH                   </t>
  </si>
  <si>
    <t xml:space="preserve">PWD2TCLCNPJRR  </t>
  </si>
  <si>
    <t xml:space="preserve">PW2WQBR </t>
  </si>
  <si>
    <t xml:space="preserve">WD ML 2T QD. BACK RH WIDE               </t>
  </si>
  <si>
    <t xml:space="preserve">PW2WQBRCNPJRR  </t>
  </si>
  <si>
    <t xml:space="preserve">PW2WQBL </t>
  </si>
  <si>
    <t xml:space="preserve">WD ML 2T QD. BACK LH WIDE               </t>
  </si>
  <si>
    <t xml:space="preserve">PW2WQBLCNPJRR  </t>
  </si>
  <si>
    <t xml:space="preserve">PW2WQCR </t>
  </si>
  <si>
    <t xml:space="preserve">WD ML 2T QD CUSH RH WIDE                </t>
  </si>
  <si>
    <t xml:space="preserve">PW2WQCRCNPJRR  </t>
  </si>
  <si>
    <t>WD20012</t>
  </si>
  <si>
    <t xml:space="preserve">PW2WQCL </t>
  </si>
  <si>
    <t xml:space="preserve">WD ML 2T QD CUSH LH WIDE                </t>
  </si>
  <si>
    <t xml:space="preserve">PW2WQCLCNPJRR  </t>
  </si>
  <si>
    <t xml:space="preserve">Table 38       </t>
  </si>
  <si>
    <t>MFP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</si>
</sst>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4">
    <xf numFmtId="0" fontId="0" fillId="0" borderId="0" xfId="0"/>
    <xf numFmtId="0" fontId="2" fillId="3" borderId="0" xfId="2"/>
    <xf numFmtId="0" fontId="1" fillId="2" borderId="0" xfId="1"/>
    <xf numFmtId="0" fontId="3" fillId="4" borderId="1" xfId="3"/>
  </cellXfs>
  <cellStyles count="4">
    <cellStyle name="Bueno" xfId="1" builtinId="26"/>
    <cellStyle name="Cálculo" xfId="3" builtinId="22"/>
    <cellStyle name="Incorrecto" xfId="2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C13EA-744E-4552-9883-57555B56265C}">
  <dimension ref="A1:Z31"/>
  <sheetViews>
    <sheetView tabSelected="1" workbookViewId="0">
      <selection activeCell="C25" sqref="C25"/>
    </sheetView>
  </sheetViews>
  <sheetFormatPr baseColWidth="10" defaultRowHeight="14.4" x14ac:dyDescent="0.3"/>
  <cols>
    <col min="3" max="3" width="32.77734375" bestFit="1" customWidth="1"/>
    <col min="4" max="4" width="33.332031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L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</row>
    <row r="2" spans="1:26" x14ac:dyDescent="0.3">
      <c r="A2">
        <v>29487</v>
      </c>
      <c r="B2" t="s">
        <v>23</v>
      </c>
      <c r="C2" t="s">
        <v>24</v>
      </c>
      <c r="D2" t="s">
        <v>25</v>
      </c>
      <c r="E2" t="s">
        <v>26</v>
      </c>
      <c r="F2">
        <v>20210426</v>
      </c>
      <c r="G2">
        <v>20210426</v>
      </c>
      <c r="H2" t="s">
        <v>27</v>
      </c>
      <c r="J2">
        <v>2</v>
      </c>
      <c r="L2" t="s">
        <v>28</v>
      </c>
      <c r="N2" t="s">
        <v>29</v>
      </c>
      <c r="O2">
        <v>875.93200000000002</v>
      </c>
      <c r="P2">
        <v>1564.17</v>
      </c>
      <c r="Q2" t="s">
        <v>27</v>
      </c>
      <c r="R2">
        <v>70</v>
      </c>
      <c r="S2" t="s">
        <v>30</v>
      </c>
      <c r="T2">
        <v>1510</v>
      </c>
      <c r="U2">
        <v>1</v>
      </c>
      <c r="V2">
        <v>0</v>
      </c>
      <c r="W2" t="s">
        <v>31</v>
      </c>
      <c r="X2" t="s">
        <v>32</v>
      </c>
      <c r="Y2" t="s">
        <v>27</v>
      </c>
      <c r="Z2" t="s">
        <v>27</v>
      </c>
    </row>
    <row r="4" spans="1:26" x14ac:dyDescent="0.3">
      <c r="A4" t="s">
        <v>0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J4" t="s">
        <v>40</v>
      </c>
      <c r="L4" t="s">
        <v>41</v>
      </c>
      <c r="N4" t="s">
        <v>15</v>
      </c>
      <c r="O4" t="s">
        <v>42</v>
      </c>
      <c r="P4" t="s">
        <v>43</v>
      </c>
      <c r="Q4" t="s">
        <v>44</v>
      </c>
      <c r="R4" t="s">
        <v>45</v>
      </c>
    </row>
    <row r="5" spans="1:26" x14ac:dyDescent="0.3">
      <c r="A5">
        <v>29487</v>
      </c>
      <c r="B5" t="s">
        <v>46</v>
      </c>
      <c r="C5" t="s">
        <v>47</v>
      </c>
      <c r="D5" t="s">
        <v>48</v>
      </c>
      <c r="E5">
        <v>30</v>
      </c>
      <c r="F5">
        <v>0</v>
      </c>
      <c r="G5">
        <v>0</v>
      </c>
      <c r="H5">
        <v>4.3773999999999997</v>
      </c>
      <c r="I5">
        <f>G5*H5</f>
        <v>0</v>
      </c>
      <c r="J5">
        <v>7.8167999999999997</v>
      </c>
      <c r="K5">
        <f>G5*J5</f>
        <v>0</v>
      </c>
      <c r="L5">
        <v>7</v>
      </c>
      <c r="M5">
        <f>G5*L5</f>
        <v>0</v>
      </c>
      <c r="N5" t="s">
        <v>30</v>
      </c>
      <c r="O5" t="s">
        <v>49</v>
      </c>
      <c r="P5" t="s">
        <v>27</v>
      </c>
      <c r="Q5">
        <v>1</v>
      </c>
      <c r="R5">
        <v>1612138</v>
      </c>
    </row>
    <row r="6" spans="1:26" s="1" customFormat="1" x14ac:dyDescent="0.3">
      <c r="A6" s="1">
        <v>29487</v>
      </c>
      <c r="B6" s="1" t="s">
        <v>46</v>
      </c>
      <c r="C6" s="1" t="s">
        <v>47</v>
      </c>
      <c r="D6" s="1" t="s">
        <v>48</v>
      </c>
      <c r="E6" s="1">
        <v>10</v>
      </c>
      <c r="F6" s="1">
        <v>0</v>
      </c>
      <c r="G6" s="1">
        <v>0</v>
      </c>
      <c r="H6" s="1">
        <v>4.3773999999999997</v>
      </c>
      <c r="I6" s="1">
        <f t="shared" ref="I6:I14" si="0">G6*H6</f>
        <v>0</v>
      </c>
      <c r="J6" s="1">
        <v>7.8167999999999997</v>
      </c>
      <c r="K6" s="1">
        <f t="shared" ref="K6:K14" si="1">G6*J6</f>
        <v>0</v>
      </c>
      <c r="L6" s="1">
        <v>7</v>
      </c>
      <c r="M6" s="1">
        <f t="shared" ref="M6:M14" si="2">G6*L6</f>
        <v>0</v>
      </c>
      <c r="N6" s="1" t="s">
        <v>30</v>
      </c>
      <c r="O6" s="1" t="s">
        <v>49</v>
      </c>
      <c r="P6" s="1" t="s">
        <v>27</v>
      </c>
      <c r="Q6" s="1">
        <v>2</v>
      </c>
      <c r="R6" s="1">
        <v>1612139</v>
      </c>
    </row>
    <row r="7" spans="1:26" x14ac:dyDescent="0.3">
      <c r="A7">
        <v>29487</v>
      </c>
      <c r="B7" t="s">
        <v>50</v>
      </c>
      <c r="C7" t="s">
        <v>51</v>
      </c>
      <c r="D7" t="s">
        <v>52</v>
      </c>
      <c r="E7">
        <v>30</v>
      </c>
      <c r="F7">
        <v>0</v>
      </c>
      <c r="G7">
        <v>30</v>
      </c>
      <c r="H7">
        <v>4.3773999999999997</v>
      </c>
      <c r="I7">
        <f t="shared" si="0"/>
        <v>131.322</v>
      </c>
      <c r="J7">
        <v>7.8167999999999997</v>
      </c>
      <c r="K7">
        <f t="shared" si="1"/>
        <v>234.50399999999999</v>
      </c>
      <c r="L7">
        <v>7</v>
      </c>
      <c r="M7">
        <f t="shared" si="2"/>
        <v>210</v>
      </c>
      <c r="N7" t="s">
        <v>30</v>
      </c>
      <c r="O7" t="s">
        <v>49</v>
      </c>
      <c r="P7" t="s">
        <v>27</v>
      </c>
      <c r="Q7">
        <v>3</v>
      </c>
      <c r="R7">
        <v>1612140</v>
      </c>
    </row>
    <row r="8" spans="1:26" x14ac:dyDescent="0.3">
      <c r="A8">
        <v>29487</v>
      </c>
      <c r="B8" t="s">
        <v>53</v>
      </c>
      <c r="C8" t="s">
        <v>54</v>
      </c>
      <c r="D8" t="s">
        <v>55</v>
      </c>
      <c r="E8">
        <v>30</v>
      </c>
      <c r="F8">
        <v>0</v>
      </c>
      <c r="G8">
        <v>30</v>
      </c>
      <c r="H8">
        <v>2.9537</v>
      </c>
      <c r="I8">
        <f t="shared" si="0"/>
        <v>88.611000000000004</v>
      </c>
      <c r="J8">
        <v>5.2744999999999997</v>
      </c>
      <c r="K8">
        <f t="shared" si="1"/>
        <v>158.23499999999999</v>
      </c>
      <c r="L8">
        <v>5</v>
      </c>
      <c r="M8">
        <f t="shared" si="2"/>
        <v>150</v>
      </c>
      <c r="N8" t="s">
        <v>30</v>
      </c>
      <c r="O8" t="s">
        <v>56</v>
      </c>
      <c r="P8" t="s">
        <v>27</v>
      </c>
      <c r="Q8">
        <v>4</v>
      </c>
      <c r="R8">
        <v>1612141</v>
      </c>
    </row>
    <row r="9" spans="1:26" x14ac:dyDescent="0.3">
      <c r="A9">
        <v>29487</v>
      </c>
      <c r="B9" t="s">
        <v>57</v>
      </c>
      <c r="C9" t="s">
        <v>58</v>
      </c>
      <c r="D9" t="s">
        <v>59</v>
      </c>
      <c r="E9">
        <v>30</v>
      </c>
      <c r="F9">
        <v>0</v>
      </c>
      <c r="G9">
        <v>30</v>
      </c>
      <c r="H9">
        <v>2.9537</v>
      </c>
      <c r="I9">
        <f t="shared" si="0"/>
        <v>88.611000000000004</v>
      </c>
      <c r="J9">
        <v>5.2744999999999997</v>
      </c>
      <c r="K9">
        <f t="shared" si="1"/>
        <v>158.23499999999999</v>
      </c>
      <c r="L9">
        <v>5</v>
      </c>
      <c r="M9">
        <f t="shared" si="2"/>
        <v>150</v>
      </c>
      <c r="N9" t="s">
        <v>30</v>
      </c>
      <c r="O9" t="s">
        <v>56</v>
      </c>
      <c r="P9" t="s">
        <v>27</v>
      </c>
      <c r="Q9">
        <v>5</v>
      </c>
      <c r="R9">
        <v>1612142</v>
      </c>
    </row>
    <row r="10" spans="1:26" x14ac:dyDescent="0.3">
      <c r="A10">
        <v>29487</v>
      </c>
      <c r="B10" t="s">
        <v>60</v>
      </c>
      <c r="C10" t="s">
        <v>61</v>
      </c>
      <c r="D10" t="s">
        <v>62</v>
      </c>
      <c r="E10">
        <v>30</v>
      </c>
      <c r="F10">
        <v>0</v>
      </c>
      <c r="G10">
        <v>30</v>
      </c>
      <c r="H10">
        <v>3.9243000000000001</v>
      </c>
      <c r="I10">
        <f t="shared" si="0"/>
        <v>117.729</v>
      </c>
      <c r="J10">
        <v>7.0076999999999998</v>
      </c>
      <c r="K10">
        <f t="shared" si="1"/>
        <v>210.23099999999999</v>
      </c>
      <c r="L10">
        <v>7</v>
      </c>
      <c r="M10">
        <f t="shared" si="2"/>
        <v>210</v>
      </c>
      <c r="N10" t="s">
        <v>30</v>
      </c>
      <c r="O10" t="s">
        <v>49</v>
      </c>
      <c r="P10" t="s">
        <v>27</v>
      </c>
      <c r="Q10">
        <v>6</v>
      </c>
      <c r="R10">
        <v>1612143</v>
      </c>
    </row>
    <row r="11" spans="1:26" x14ac:dyDescent="0.3">
      <c r="A11">
        <v>29487</v>
      </c>
      <c r="B11" t="s">
        <v>63</v>
      </c>
      <c r="C11" t="s">
        <v>64</v>
      </c>
      <c r="D11" t="s">
        <v>65</v>
      </c>
      <c r="E11">
        <v>30</v>
      </c>
      <c r="F11">
        <v>0</v>
      </c>
      <c r="G11">
        <v>30</v>
      </c>
      <c r="H11">
        <v>3.9243000000000001</v>
      </c>
      <c r="I11">
        <f t="shared" si="0"/>
        <v>117.729</v>
      </c>
      <c r="J11">
        <v>7.0076999999999998</v>
      </c>
      <c r="K11">
        <f t="shared" si="1"/>
        <v>210.23099999999999</v>
      </c>
      <c r="L11">
        <v>7</v>
      </c>
      <c r="M11">
        <f t="shared" si="2"/>
        <v>210</v>
      </c>
      <c r="N11" t="s">
        <v>30</v>
      </c>
      <c r="O11" t="s">
        <v>49</v>
      </c>
      <c r="P11" t="s">
        <v>27</v>
      </c>
      <c r="Q11">
        <v>7</v>
      </c>
      <c r="R11">
        <v>1612144</v>
      </c>
    </row>
    <row r="12" spans="1:26" x14ac:dyDescent="0.3">
      <c r="A12">
        <v>29487</v>
      </c>
      <c r="B12" t="s">
        <v>66</v>
      </c>
      <c r="C12" t="s">
        <v>67</v>
      </c>
      <c r="D12" t="s">
        <v>68</v>
      </c>
      <c r="E12">
        <v>30</v>
      </c>
      <c r="F12">
        <v>0</v>
      </c>
      <c r="G12">
        <v>30</v>
      </c>
      <c r="H12">
        <v>2.6139000000000001</v>
      </c>
      <c r="I12">
        <f t="shared" ref="I12" si="3">G12*H12</f>
        <v>78.417000000000002</v>
      </c>
      <c r="J12">
        <v>4.6677</v>
      </c>
      <c r="K12">
        <f t="shared" ref="K12" si="4">G12*J12</f>
        <v>140.03100000000001</v>
      </c>
      <c r="L12">
        <v>5</v>
      </c>
      <c r="M12">
        <f t="shared" ref="M12" si="5">G12*L12</f>
        <v>150</v>
      </c>
      <c r="N12" t="s">
        <v>30</v>
      </c>
      <c r="O12" t="s">
        <v>69</v>
      </c>
      <c r="P12" t="s">
        <v>27</v>
      </c>
      <c r="Q12">
        <v>8</v>
      </c>
      <c r="R12">
        <v>1612145</v>
      </c>
    </row>
    <row r="13" spans="1:26" s="2" customFormat="1" x14ac:dyDescent="0.3">
      <c r="A13" s="2">
        <v>29487</v>
      </c>
      <c r="B13" s="2" t="s">
        <v>66</v>
      </c>
      <c r="C13" s="2" t="s">
        <v>67</v>
      </c>
      <c r="D13" s="2" t="s">
        <v>68</v>
      </c>
      <c r="E13" s="2">
        <v>30</v>
      </c>
      <c r="F13" s="2">
        <v>0</v>
      </c>
      <c r="G13" s="2">
        <v>10</v>
      </c>
      <c r="H13" s="2">
        <v>2.6139000000000001</v>
      </c>
      <c r="I13" s="2">
        <f t="shared" si="0"/>
        <v>26.139000000000003</v>
      </c>
      <c r="J13" s="2">
        <v>4.6677</v>
      </c>
      <c r="K13" s="2">
        <f t="shared" si="1"/>
        <v>46.677</v>
      </c>
      <c r="L13" s="2">
        <v>5</v>
      </c>
      <c r="M13" s="2">
        <f t="shared" si="2"/>
        <v>50</v>
      </c>
      <c r="N13" s="2" t="s">
        <v>30</v>
      </c>
      <c r="O13" s="2" t="s">
        <v>69</v>
      </c>
      <c r="P13" s="2" t="s">
        <v>27</v>
      </c>
      <c r="Q13" s="2">
        <v>8</v>
      </c>
      <c r="R13" s="2">
        <v>1612145</v>
      </c>
    </row>
    <row r="14" spans="1:26" x14ac:dyDescent="0.3">
      <c r="A14">
        <v>29487</v>
      </c>
      <c r="B14" t="s">
        <v>70</v>
      </c>
      <c r="C14" t="s">
        <v>71</v>
      </c>
      <c r="D14" t="s">
        <v>72</v>
      </c>
      <c r="E14">
        <v>30</v>
      </c>
      <c r="F14">
        <v>0</v>
      </c>
      <c r="G14">
        <v>30</v>
      </c>
      <c r="H14">
        <v>2.6139000000000001</v>
      </c>
      <c r="I14">
        <f t="shared" si="0"/>
        <v>78.417000000000002</v>
      </c>
      <c r="J14">
        <v>4.6677</v>
      </c>
      <c r="K14">
        <f t="shared" si="1"/>
        <v>140.03100000000001</v>
      </c>
      <c r="L14">
        <v>5</v>
      </c>
      <c r="M14">
        <f t="shared" si="2"/>
        <v>150</v>
      </c>
      <c r="N14" t="s">
        <v>30</v>
      </c>
      <c r="O14" t="s">
        <v>49</v>
      </c>
      <c r="P14" t="s">
        <v>27</v>
      </c>
      <c r="Q14">
        <v>9</v>
      </c>
      <c r="R14">
        <v>1612146</v>
      </c>
    </row>
    <row r="15" spans="1:26" x14ac:dyDescent="0.3">
      <c r="G15">
        <f>SUM(G5:G14)</f>
        <v>220</v>
      </c>
      <c r="I15">
        <f>SUM(I5:I14)</f>
        <v>726.97500000000002</v>
      </c>
      <c r="K15">
        <f>SUM(K5:K14)</f>
        <v>1298.1749999999997</v>
      </c>
      <c r="M15">
        <f>SUM(M5:M14)</f>
        <v>1280</v>
      </c>
    </row>
    <row r="18" spans="1:23" x14ac:dyDescent="0.3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  <c r="K18" t="s">
        <v>10</v>
      </c>
      <c r="L18" t="s">
        <v>11</v>
      </c>
      <c r="M18" t="s">
        <v>12</v>
      </c>
      <c r="N18" t="s">
        <v>13</v>
      </c>
      <c r="O18" t="s">
        <v>14</v>
      </c>
      <c r="P18" t="s">
        <v>15</v>
      </c>
      <c r="Q18" t="s">
        <v>16</v>
      </c>
      <c r="R18" t="s">
        <v>17</v>
      </c>
      <c r="S18" t="s">
        <v>18</v>
      </c>
      <c r="T18" t="s">
        <v>19</v>
      </c>
      <c r="U18" t="s">
        <v>20</v>
      </c>
      <c r="V18" t="s">
        <v>21</v>
      </c>
      <c r="W18" t="s">
        <v>22</v>
      </c>
    </row>
    <row r="19" spans="1:23" x14ac:dyDescent="0.3">
      <c r="A19">
        <v>29487</v>
      </c>
      <c r="B19" t="s">
        <v>23</v>
      </c>
      <c r="C19" t="s">
        <v>24</v>
      </c>
      <c r="D19" t="s">
        <v>25</v>
      </c>
      <c r="E19" t="s">
        <v>73</v>
      </c>
      <c r="F19">
        <v>20210426</v>
      </c>
      <c r="G19">
        <v>20210426</v>
      </c>
      <c r="H19" t="s">
        <v>27</v>
      </c>
      <c r="I19">
        <v>2</v>
      </c>
      <c r="J19" t="s">
        <v>28</v>
      </c>
      <c r="K19" t="s">
        <v>29</v>
      </c>
      <c r="L19">
        <v>858.29700000000003</v>
      </c>
      <c r="M19">
        <v>1532.6790000000001</v>
      </c>
      <c r="N19" t="s">
        <v>27</v>
      </c>
      <c r="O19">
        <v>70</v>
      </c>
      <c r="P19" t="s">
        <v>30</v>
      </c>
      <c r="Q19">
        <v>1490</v>
      </c>
      <c r="R19">
        <v>1</v>
      </c>
      <c r="S19">
        <v>0</v>
      </c>
      <c r="T19" t="s">
        <v>31</v>
      </c>
      <c r="U19" t="s">
        <v>32</v>
      </c>
      <c r="V19" t="s">
        <v>27</v>
      </c>
      <c r="W19" t="s">
        <v>27</v>
      </c>
    </row>
    <row r="21" spans="1:23" x14ac:dyDescent="0.3">
      <c r="A21" t="s">
        <v>0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40</v>
      </c>
      <c r="J21" t="s">
        <v>41</v>
      </c>
      <c r="K21" t="s">
        <v>15</v>
      </c>
      <c r="L21" t="s">
        <v>42</v>
      </c>
      <c r="M21" t="s">
        <v>43</v>
      </c>
      <c r="N21" t="s">
        <v>44</v>
      </c>
      <c r="O21" t="s">
        <v>45</v>
      </c>
    </row>
    <row r="22" spans="1:23" x14ac:dyDescent="0.3">
      <c r="A22">
        <v>29487</v>
      </c>
      <c r="B22" t="s">
        <v>46</v>
      </c>
      <c r="C22" t="s">
        <v>47</v>
      </c>
      <c r="D22" t="s">
        <v>48</v>
      </c>
      <c r="E22">
        <v>30</v>
      </c>
      <c r="F22">
        <v>0</v>
      </c>
      <c r="G22">
        <v>0</v>
      </c>
      <c r="H22">
        <v>4.3773999999999997</v>
      </c>
      <c r="I22">
        <v>7.8167999999999997</v>
      </c>
      <c r="J22">
        <v>7</v>
      </c>
      <c r="K22" t="s">
        <v>30</v>
      </c>
      <c r="L22" t="s">
        <v>49</v>
      </c>
      <c r="M22" t="s">
        <v>27</v>
      </c>
      <c r="N22">
        <v>1</v>
      </c>
      <c r="O22">
        <v>1614019</v>
      </c>
    </row>
    <row r="23" spans="1:23" x14ac:dyDescent="0.3">
      <c r="A23">
        <v>29487</v>
      </c>
      <c r="B23" t="s">
        <v>50</v>
      </c>
      <c r="C23" t="s">
        <v>51</v>
      </c>
      <c r="D23" t="s">
        <v>52</v>
      </c>
      <c r="E23">
        <v>30</v>
      </c>
      <c r="F23">
        <v>0</v>
      </c>
      <c r="G23">
        <v>30</v>
      </c>
      <c r="H23">
        <v>4.3773999999999997</v>
      </c>
      <c r="I23">
        <v>7.8167999999999997</v>
      </c>
      <c r="J23">
        <v>7</v>
      </c>
      <c r="K23" t="s">
        <v>30</v>
      </c>
      <c r="L23" t="s">
        <v>49</v>
      </c>
      <c r="M23" t="s">
        <v>27</v>
      </c>
      <c r="N23">
        <v>2</v>
      </c>
      <c r="O23">
        <v>1614020</v>
      </c>
    </row>
    <row r="24" spans="1:23" x14ac:dyDescent="0.3">
      <c r="A24">
        <v>29487</v>
      </c>
      <c r="B24" t="s">
        <v>53</v>
      </c>
      <c r="C24" t="s">
        <v>54</v>
      </c>
      <c r="D24" t="s">
        <v>55</v>
      </c>
      <c r="E24">
        <v>30</v>
      </c>
      <c r="F24">
        <v>0</v>
      </c>
      <c r="G24">
        <v>30</v>
      </c>
      <c r="H24">
        <v>2.9537</v>
      </c>
      <c r="I24">
        <v>5.2744999999999997</v>
      </c>
      <c r="J24">
        <v>5</v>
      </c>
      <c r="K24" t="s">
        <v>30</v>
      </c>
      <c r="L24" t="s">
        <v>56</v>
      </c>
      <c r="M24" t="s">
        <v>27</v>
      </c>
      <c r="N24">
        <v>3</v>
      </c>
      <c r="O24">
        <v>1614021</v>
      </c>
    </row>
    <row r="25" spans="1:23" x14ac:dyDescent="0.3">
      <c r="A25">
        <v>29487</v>
      </c>
      <c r="B25" t="s">
        <v>57</v>
      </c>
      <c r="C25" t="s">
        <v>58</v>
      </c>
      <c r="D25" t="s">
        <v>59</v>
      </c>
      <c r="E25">
        <v>30</v>
      </c>
      <c r="F25">
        <v>0</v>
      </c>
      <c r="G25">
        <v>30</v>
      </c>
      <c r="H25">
        <v>2.9537</v>
      </c>
      <c r="I25">
        <v>5.2744999999999997</v>
      </c>
      <c r="J25">
        <v>5</v>
      </c>
      <c r="K25" t="s">
        <v>30</v>
      </c>
      <c r="L25" t="s">
        <v>56</v>
      </c>
      <c r="M25" t="s">
        <v>27</v>
      </c>
      <c r="N25">
        <v>4</v>
      </c>
      <c r="O25">
        <v>1614022</v>
      </c>
    </row>
    <row r="26" spans="1:23" x14ac:dyDescent="0.3">
      <c r="A26">
        <v>29487</v>
      </c>
      <c r="B26" t="s">
        <v>60</v>
      </c>
      <c r="C26" t="s">
        <v>61</v>
      </c>
      <c r="D26" t="s">
        <v>62</v>
      </c>
      <c r="E26">
        <v>30</v>
      </c>
      <c r="F26">
        <v>0</v>
      </c>
      <c r="G26">
        <v>30</v>
      </c>
      <c r="H26">
        <v>3.9243000000000001</v>
      </c>
      <c r="I26">
        <v>7.0076999999999998</v>
      </c>
      <c r="J26">
        <v>7</v>
      </c>
      <c r="K26" t="s">
        <v>30</v>
      </c>
      <c r="L26" t="s">
        <v>49</v>
      </c>
      <c r="M26" t="s">
        <v>27</v>
      </c>
      <c r="N26">
        <v>5</v>
      </c>
      <c r="O26">
        <v>1614023</v>
      </c>
    </row>
    <row r="27" spans="1:23" x14ac:dyDescent="0.3">
      <c r="A27">
        <v>29487</v>
      </c>
      <c r="B27" t="s">
        <v>63</v>
      </c>
      <c r="C27" t="s">
        <v>64</v>
      </c>
      <c r="D27" t="s">
        <v>65</v>
      </c>
      <c r="E27">
        <v>30</v>
      </c>
      <c r="F27">
        <v>0</v>
      </c>
      <c r="G27">
        <v>30</v>
      </c>
      <c r="H27">
        <v>3.9243000000000001</v>
      </c>
      <c r="I27">
        <v>7.0076999999999998</v>
      </c>
      <c r="J27">
        <v>7</v>
      </c>
      <c r="K27" t="s">
        <v>30</v>
      </c>
      <c r="L27" t="s">
        <v>49</v>
      </c>
      <c r="M27" t="s">
        <v>27</v>
      </c>
      <c r="N27">
        <v>6</v>
      </c>
      <c r="O27">
        <v>1614024</v>
      </c>
    </row>
    <row r="28" spans="1:23" x14ac:dyDescent="0.3">
      <c r="A28">
        <v>29487</v>
      </c>
      <c r="B28" t="s">
        <v>66</v>
      </c>
      <c r="C28" t="s">
        <v>67</v>
      </c>
      <c r="D28" t="s">
        <v>68</v>
      </c>
      <c r="E28">
        <v>30</v>
      </c>
      <c r="F28">
        <v>0</v>
      </c>
      <c r="G28">
        <v>30</v>
      </c>
      <c r="H28">
        <v>2.6139000000000001</v>
      </c>
      <c r="I28">
        <v>4.6677</v>
      </c>
      <c r="J28">
        <v>5</v>
      </c>
      <c r="K28" t="s">
        <v>30</v>
      </c>
      <c r="L28" t="s">
        <v>69</v>
      </c>
      <c r="M28" t="s">
        <v>27</v>
      </c>
      <c r="N28">
        <v>7</v>
      </c>
      <c r="O28">
        <v>1614025</v>
      </c>
    </row>
    <row r="29" spans="1:23" s="3" customFormat="1" x14ac:dyDescent="0.3">
      <c r="A29" s="3">
        <v>29487</v>
      </c>
      <c r="B29" s="3" t="s">
        <v>66</v>
      </c>
      <c r="C29" s="3" t="s">
        <v>67</v>
      </c>
      <c r="D29" s="3" t="s">
        <v>68</v>
      </c>
      <c r="E29" s="3">
        <v>10</v>
      </c>
      <c r="F29" s="3">
        <v>0</v>
      </c>
      <c r="G29" s="3">
        <v>10</v>
      </c>
      <c r="H29" s="3">
        <v>2.6139000000000001</v>
      </c>
      <c r="I29" s="3">
        <v>4.6677</v>
      </c>
      <c r="J29" s="3">
        <v>5</v>
      </c>
      <c r="K29" s="3" t="s">
        <v>30</v>
      </c>
      <c r="L29" s="3" t="s">
        <v>69</v>
      </c>
      <c r="M29" s="3" t="s">
        <v>27</v>
      </c>
      <c r="N29" s="3">
        <v>8</v>
      </c>
      <c r="O29" s="3">
        <v>1614026</v>
      </c>
      <c r="P29" s="3" t="s">
        <v>74</v>
      </c>
    </row>
    <row r="30" spans="1:23" x14ac:dyDescent="0.3">
      <c r="A30">
        <v>29487</v>
      </c>
      <c r="B30" t="s">
        <v>70</v>
      </c>
      <c r="C30" t="s">
        <v>71</v>
      </c>
      <c r="D30" t="s">
        <v>72</v>
      </c>
      <c r="E30">
        <v>30</v>
      </c>
      <c r="F30">
        <v>0</v>
      </c>
      <c r="G30">
        <v>30</v>
      </c>
      <c r="H30">
        <v>2.6139000000000001</v>
      </c>
      <c r="I30">
        <v>4.6677</v>
      </c>
      <c r="J30">
        <v>5</v>
      </c>
      <c r="K30" t="s">
        <v>30</v>
      </c>
      <c r="L30" t="s">
        <v>49</v>
      </c>
      <c r="M30" t="s">
        <v>27</v>
      </c>
      <c r="N30">
        <v>9</v>
      </c>
      <c r="O30">
        <v>1614027</v>
      </c>
    </row>
    <row r="31" spans="1:23" x14ac:dyDescent="0.3">
      <c r="G31">
        <f>SUM(G22:G30)</f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Esteban</dc:creator>
  <cp:lastModifiedBy>Francisco Esteban</cp:lastModifiedBy>
  <dcterms:created xsi:type="dcterms:W3CDTF">2021-04-27T21:32:34Z</dcterms:created>
  <dcterms:modified xsi:type="dcterms:W3CDTF">2021-04-28T23:42:32Z</dcterms:modified>
</cp:coreProperties>
</file>