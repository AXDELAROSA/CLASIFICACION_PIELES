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_PEARL_FEG\10.CLASIFICACION_PIELES\Scripts_R100_Materiales\Folios_Transaccion\"/>
    </mc:Choice>
  </mc:AlternateContent>
  <bookViews>
    <workbookView xWindow="0" yWindow="0" windowWidth="15345" windowHeight="4545" firstSheet="6" activeTab="13"/>
  </bookViews>
  <sheets>
    <sheet name="Mesa 3" sheetId="1" r:id="rId1"/>
    <sheet name="Mesa 4" sheetId="2" r:id="rId2"/>
    <sheet name="Mesa 5" sheetId="3" r:id="rId3"/>
    <sheet name="Mesa 6" sheetId="4" r:id="rId4"/>
    <sheet name="Mesa 12" sheetId="5" r:id="rId5"/>
    <sheet name="Mesa 13" sheetId="6" r:id="rId6"/>
    <sheet name="Mesa 16" sheetId="7" r:id="rId7"/>
    <sheet name="Mesa 17" sheetId="8" r:id="rId8"/>
    <sheet name="Mesa 37" sheetId="9" r:id="rId9"/>
    <sheet name="Mesa 38" sheetId="10" r:id="rId10"/>
    <sheet name="Mesa 39" sheetId="11" r:id="rId11"/>
    <sheet name="Mesa 61" sheetId="12" r:id="rId12"/>
    <sheet name="Mesa 62" sheetId="13" r:id="rId13"/>
    <sheet name="Sheet14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9" i="4" l="1"/>
  <c r="R52" i="4"/>
  <c r="R42" i="4"/>
  <c r="R46" i="14" l="1"/>
  <c r="R39" i="14"/>
  <c r="R36" i="14"/>
  <c r="R28" i="14"/>
  <c r="R20" i="14"/>
  <c r="R14" i="14"/>
  <c r="R6" i="14"/>
  <c r="S58" i="13"/>
  <c r="S55" i="13"/>
  <c r="S50" i="13"/>
  <c r="S45" i="13"/>
  <c r="S42" i="13"/>
  <c r="T35" i="13"/>
  <c r="S35" i="13"/>
  <c r="S19" i="13"/>
  <c r="S12" i="13"/>
  <c r="S9" i="13"/>
  <c r="S4" i="13"/>
  <c r="R51" i="12"/>
  <c r="R37" i="12"/>
  <c r="R44" i="12"/>
  <c r="R34" i="12"/>
  <c r="R16" i="12"/>
  <c r="R13" i="12"/>
  <c r="R10" i="12"/>
  <c r="R8" i="12"/>
  <c r="R5" i="12"/>
  <c r="S48" i="11"/>
  <c r="S46" i="11"/>
  <c r="S44" i="11"/>
  <c r="S40" i="11"/>
  <c r="S35" i="11"/>
  <c r="S27" i="11"/>
  <c r="S25" i="11"/>
  <c r="S13" i="11"/>
  <c r="S11" i="11"/>
  <c r="S9" i="11"/>
  <c r="S6" i="11"/>
  <c r="R53" i="10"/>
  <c r="R47" i="10"/>
  <c r="R60" i="10"/>
  <c r="R58" i="10"/>
  <c r="R45" i="10"/>
  <c r="R37" i="10"/>
  <c r="R30" i="10"/>
  <c r="R28" i="10"/>
  <c r="R23" i="10"/>
  <c r="R21" i="10"/>
  <c r="R17" i="10"/>
  <c r="R8" i="10"/>
  <c r="R48" i="9"/>
  <c r="R46" i="9"/>
  <c r="R42" i="9"/>
  <c r="R36" i="9"/>
  <c r="R30" i="9"/>
  <c r="R26" i="9"/>
  <c r="R17" i="9"/>
  <c r="R8" i="9"/>
  <c r="R6" i="9"/>
  <c r="S59" i="8"/>
  <c r="R76" i="8"/>
  <c r="R74" i="8"/>
  <c r="R68" i="8"/>
  <c r="R65" i="8"/>
  <c r="R63" i="8"/>
  <c r="R59" i="8"/>
  <c r="R57" i="8"/>
  <c r="R53" i="8"/>
  <c r="R42" i="8"/>
  <c r="R35" i="8"/>
  <c r="R33" i="8"/>
  <c r="R31" i="8"/>
  <c r="R29" i="8"/>
  <c r="R6" i="8"/>
  <c r="S51" i="7"/>
  <c r="S44" i="7"/>
  <c r="S41" i="7"/>
  <c r="S39" i="7"/>
  <c r="S35" i="7"/>
  <c r="S30" i="7"/>
  <c r="S29" i="7"/>
  <c r="S26" i="7"/>
  <c r="S22" i="7"/>
  <c r="S18" i="7"/>
  <c r="S14" i="7"/>
  <c r="S8" i="7"/>
  <c r="S5" i="7"/>
  <c r="S20" i="5"/>
  <c r="S15" i="5"/>
  <c r="S8" i="5"/>
  <c r="R53" i="4"/>
  <c r="S21" i="4"/>
  <c r="R46" i="4"/>
  <c r="R40" i="4"/>
  <c r="R36" i="4"/>
  <c r="R30" i="4"/>
  <c r="R21" i="4"/>
  <c r="R11" i="4"/>
  <c r="R6" i="4"/>
  <c r="S32" i="3"/>
  <c r="S25" i="3"/>
  <c r="S21" i="3"/>
  <c r="S17" i="3"/>
  <c r="S9" i="3"/>
  <c r="S7" i="3"/>
  <c r="S5" i="3"/>
  <c r="S13" i="2"/>
  <c r="S23" i="2"/>
  <c r="S21" i="2"/>
  <c r="S9" i="2"/>
  <c r="S4" i="2"/>
  <c r="S6" i="2"/>
  <c r="S11" i="1"/>
  <c r="S21" i="1"/>
  <c r="S30" i="1"/>
  <c r="S68" i="1"/>
  <c r="S62" i="1"/>
  <c r="S59" i="1"/>
  <c r="S56" i="1"/>
  <c r="S53" i="1"/>
  <c r="S48" i="1"/>
  <c r="S39" i="1"/>
  <c r="S36" i="1"/>
  <c r="S38" i="1"/>
  <c r="S35" i="1"/>
</calcChain>
</file>

<file path=xl/sharedStrings.xml><?xml version="1.0" encoding="utf-8"?>
<sst xmlns="http://schemas.openxmlformats.org/spreadsheetml/2006/main" count="2982" uniqueCount="41">
  <si>
    <t xml:space="preserve">FMCKTX7        </t>
  </si>
  <si>
    <t xml:space="preserve">FCNPDX9        </t>
  </si>
  <si>
    <t>ord_no</t>
  </si>
  <si>
    <t>ser_lot_no</t>
  </si>
  <si>
    <t>trx_dt</t>
  </si>
  <si>
    <t>trx_tm</t>
  </si>
  <si>
    <t>trx_qty</t>
  </si>
  <si>
    <t>item_no</t>
  </si>
  <si>
    <t>loc</t>
  </si>
  <si>
    <t>T17</t>
  </si>
  <si>
    <t>T61</t>
  </si>
  <si>
    <t>T03</t>
  </si>
  <si>
    <t>T63</t>
  </si>
  <si>
    <t>T37</t>
  </si>
  <si>
    <t>T62</t>
  </si>
  <si>
    <t>T06</t>
  </si>
  <si>
    <t>T05</t>
  </si>
  <si>
    <t>T38</t>
  </si>
  <si>
    <t>T16</t>
  </si>
  <si>
    <t>T39</t>
  </si>
  <si>
    <t>T12</t>
  </si>
  <si>
    <t>T04</t>
  </si>
  <si>
    <t>T13</t>
  </si>
  <si>
    <t>COLOR</t>
  </si>
  <si>
    <t>LOCACION_ORIGEN</t>
  </si>
  <si>
    <t>ORDEN_ORIGEN</t>
  </si>
  <si>
    <t>D_TIPO_PIEL_LOG</t>
  </si>
  <si>
    <t>FMCKTX7</t>
  </si>
  <si>
    <t xml:space="preserve">TRANSFERENCIA A LOCACION </t>
  </si>
  <si>
    <t>DEVOLUCION</t>
  </si>
  <si>
    <t>MHI</t>
  </si>
  <si>
    <t>orden</t>
  </si>
  <si>
    <t>FOLIO_ORIGEN</t>
  </si>
  <si>
    <t>LOTE</t>
  </si>
  <si>
    <t>FOLIO_DESTINO</t>
  </si>
  <si>
    <t>LOCACION_DESTINO</t>
  </si>
  <si>
    <t>SQF</t>
  </si>
  <si>
    <t>F_LOG</t>
  </si>
  <si>
    <t>K_USUARIO_ALTA</t>
  </si>
  <si>
    <t>F_ALTA</t>
  </si>
  <si>
    <t>checar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</si>
</sst>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47" fontId="0" fillId="0" borderId="0" xfId="0" applyNumberFormat="1"/>
    <xf numFmtId="47" fontId="0" fillId="3" borderId="0" xfId="0" applyNumberFormat="1" applyFill="1"/>
    <xf numFmtId="22" fontId="0" fillId="0" borderId="0" xfId="0" applyNumberFormat="1"/>
    <xf numFmtId="0" fontId="0" fillId="5" borderId="0" xfId="0" applyFill="1"/>
    <xf numFmtId="0" fontId="0" fillId="4" borderId="0" xfId="0" applyFill="1"/>
    <xf numFmtId="0" fontId="2" fillId="0" borderId="0" xfId="0" applyFont="1"/>
    <xf numFmtId="47" fontId="0" fillId="5" borderId="0" xfId="0" applyNumberFormat="1" applyFill="1"/>
    <xf numFmtId="22" fontId="0" fillId="5" borderId="0" xfId="0" applyNumberFormat="1" applyFill="1"/>
    <xf numFmtId="0" fontId="0" fillId="5" borderId="0" xfId="0" applyNumberFormat="1" applyFill="1"/>
    <xf numFmtId="0" fontId="3" fillId="5" borderId="0" xfId="0" applyFont="1" applyFill="1"/>
    <xf numFmtId="22" fontId="0" fillId="4" borderId="0" xfId="0" applyNumberFormat="1" applyFill="1"/>
    <xf numFmtId="0" fontId="0" fillId="8" borderId="0" xfId="0" applyFill="1"/>
    <xf numFmtId="0" fontId="0" fillId="6" borderId="0" xfId="0" applyFill="1"/>
    <xf numFmtId="22" fontId="0" fillId="8" borderId="0" xfId="0" applyNumberFormat="1" applyFill="1"/>
    <xf numFmtId="22" fontId="0" fillId="2" borderId="0" xfId="0" applyNumberFormat="1" applyFill="1"/>
    <xf numFmtId="0" fontId="0" fillId="9" borderId="0" xfId="0" applyFill="1"/>
    <xf numFmtId="22" fontId="0" fillId="9" borderId="0" xfId="0" applyNumberFormat="1" applyFill="1"/>
    <xf numFmtId="0" fontId="0" fillId="10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43"/>
  <sheetViews>
    <sheetView topLeftCell="A49" workbookViewId="0">
      <selection activeCell="H27" sqref="H27"/>
    </sheetView>
  </sheetViews>
  <sheetFormatPr defaultRowHeight="15" x14ac:dyDescent="0.25"/>
  <cols>
    <col min="5" max="5" width="11.42578125" bestFit="1" customWidth="1"/>
    <col min="9" max="9" width="12.7109375" bestFit="1" customWidth="1"/>
    <col min="10" max="10" width="8" bestFit="1" customWidth="1"/>
    <col min="11" max="11" width="9.140625" bestFit="1" customWidth="1"/>
    <col min="13" max="13" width="4" bestFit="1" customWidth="1"/>
    <col min="14" max="14" width="6" bestFit="1" customWidth="1"/>
    <col min="16" max="16" width="4.5703125" bestFit="1" customWidth="1"/>
    <col min="18" max="18" width="14.85546875" bestFit="1" customWidth="1"/>
  </cols>
  <sheetData>
    <row r="2" spans="1:19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s="2"/>
      <c r="J2" s="2"/>
      <c r="K2" s="2"/>
      <c r="L2" s="2"/>
      <c r="N2" s="9" t="s">
        <v>31</v>
      </c>
    </row>
    <row r="3" spans="1:19" x14ac:dyDescent="0.25">
      <c r="A3" s="7">
        <v>20200220</v>
      </c>
      <c r="B3" s="7">
        <v>215618</v>
      </c>
      <c r="C3" s="7">
        <v>4368107</v>
      </c>
      <c r="D3" s="7" t="s">
        <v>0</v>
      </c>
      <c r="E3" s="7">
        <v>32931</v>
      </c>
      <c r="F3" s="7" t="s">
        <v>11</v>
      </c>
      <c r="G3" s="7">
        <v>306.2</v>
      </c>
      <c r="I3" s="7" t="s">
        <v>29</v>
      </c>
      <c r="J3" s="7">
        <v>3786586</v>
      </c>
      <c r="K3" s="11" t="s">
        <v>27</v>
      </c>
      <c r="L3" s="7">
        <v>32911</v>
      </c>
      <c r="M3" s="7" t="s">
        <v>11</v>
      </c>
      <c r="N3" s="7">
        <v>10429</v>
      </c>
      <c r="O3" s="7">
        <v>2137674</v>
      </c>
      <c r="P3" s="7" t="s">
        <v>30</v>
      </c>
      <c r="Q3" s="7">
        <v>40</v>
      </c>
      <c r="R3" s="11">
        <v>43881.625254629631</v>
      </c>
      <c r="S3" s="7">
        <v>40</v>
      </c>
    </row>
    <row r="4" spans="1:19" x14ac:dyDescent="0.25">
      <c r="A4" s="7">
        <v>20200221</v>
      </c>
      <c r="B4" s="7">
        <v>144919</v>
      </c>
      <c r="C4" s="7">
        <v>4369755</v>
      </c>
      <c r="D4" s="7" t="s">
        <v>0</v>
      </c>
      <c r="E4" s="7">
        <v>32941</v>
      </c>
      <c r="F4" s="7" t="s">
        <v>11</v>
      </c>
      <c r="G4" s="7">
        <v>61.4</v>
      </c>
      <c r="I4" t="s">
        <v>29</v>
      </c>
      <c r="J4">
        <v>3786586</v>
      </c>
      <c r="K4" s="6" t="s">
        <v>27</v>
      </c>
      <c r="L4">
        <v>32911</v>
      </c>
      <c r="M4" t="s">
        <v>11</v>
      </c>
      <c r="N4">
        <v>10429</v>
      </c>
      <c r="O4">
        <v>2137674</v>
      </c>
      <c r="P4" t="s">
        <v>30</v>
      </c>
      <c r="Q4">
        <v>39.200000000000003</v>
      </c>
      <c r="R4" s="6">
        <v>43881.627754629626</v>
      </c>
    </row>
    <row r="5" spans="1:19" x14ac:dyDescent="0.25">
      <c r="A5" s="7">
        <v>20200224</v>
      </c>
      <c r="B5" s="7">
        <v>90218</v>
      </c>
      <c r="C5" s="7">
        <v>4371211</v>
      </c>
      <c r="D5" s="7" t="s">
        <v>0</v>
      </c>
      <c r="E5" s="7">
        <v>32941</v>
      </c>
      <c r="F5" s="7" t="s">
        <v>11</v>
      </c>
      <c r="G5" s="7">
        <v>201.1</v>
      </c>
      <c r="I5" t="s">
        <v>29</v>
      </c>
      <c r="J5">
        <v>3786586</v>
      </c>
      <c r="K5" s="6" t="s">
        <v>27</v>
      </c>
      <c r="L5">
        <v>32911</v>
      </c>
      <c r="M5" t="s">
        <v>11</v>
      </c>
      <c r="N5">
        <v>10429</v>
      </c>
      <c r="O5">
        <v>2137674</v>
      </c>
      <c r="P5" t="s">
        <v>30</v>
      </c>
      <c r="Q5">
        <v>36.1</v>
      </c>
      <c r="R5" s="6">
        <v>43881.627766203703</v>
      </c>
    </row>
    <row r="6" spans="1:19" x14ac:dyDescent="0.25">
      <c r="A6" s="7">
        <v>20200220</v>
      </c>
      <c r="B6" s="7">
        <v>150023</v>
      </c>
      <c r="C6" s="7">
        <v>4367448</v>
      </c>
      <c r="D6" s="7" t="s">
        <v>0</v>
      </c>
      <c r="E6" s="7">
        <v>32911</v>
      </c>
      <c r="F6" s="7" t="s">
        <v>11</v>
      </c>
      <c r="G6" s="7">
        <v>40</v>
      </c>
      <c r="I6" t="s">
        <v>29</v>
      </c>
      <c r="J6">
        <v>3786586</v>
      </c>
      <c r="K6" s="6" t="s">
        <v>27</v>
      </c>
      <c r="L6">
        <v>32911</v>
      </c>
      <c r="M6" t="s">
        <v>11</v>
      </c>
      <c r="N6">
        <v>10429</v>
      </c>
      <c r="O6">
        <v>2137674</v>
      </c>
      <c r="P6" t="s">
        <v>30</v>
      </c>
      <c r="Q6">
        <v>37.5</v>
      </c>
      <c r="R6" s="6">
        <v>43881.627766203703</v>
      </c>
    </row>
    <row r="7" spans="1:19" x14ac:dyDescent="0.25">
      <c r="A7" s="7">
        <v>20200224</v>
      </c>
      <c r="B7" s="7">
        <v>102824</v>
      </c>
      <c r="C7" s="7">
        <v>4371261</v>
      </c>
      <c r="D7" s="7" t="s">
        <v>0</v>
      </c>
      <c r="E7" s="7">
        <v>32911</v>
      </c>
      <c r="F7" s="7" t="s">
        <v>11</v>
      </c>
      <c r="G7" s="7">
        <v>412.7</v>
      </c>
      <c r="I7" t="s">
        <v>29</v>
      </c>
      <c r="J7">
        <v>3786586</v>
      </c>
      <c r="K7" s="6" t="s">
        <v>27</v>
      </c>
      <c r="L7">
        <v>32911</v>
      </c>
      <c r="M7" t="s">
        <v>11</v>
      </c>
      <c r="N7">
        <v>10429</v>
      </c>
      <c r="O7">
        <v>2137674</v>
      </c>
      <c r="P7" t="s">
        <v>30</v>
      </c>
      <c r="Q7">
        <v>40.6</v>
      </c>
      <c r="R7" s="6">
        <v>43881.62777777778</v>
      </c>
    </row>
    <row r="8" spans="1:19" x14ac:dyDescent="0.25">
      <c r="A8" s="7">
        <v>20200221</v>
      </c>
      <c r="B8" s="7">
        <v>153757</v>
      </c>
      <c r="C8" s="7">
        <v>4369912</v>
      </c>
      <c r="D8" s="7" t="s">
        <v>0</v>
      </c>
      <c r="E8" s="7">
        <v>32941</v>
      </c>
      <c r="F8" s="7" t="s">
        <v>11</v>
      </c>
      <c r="G8" s="7">
        <v>39.1</v>
      </c>
      <c r="I8" t="s">
        <v>29</v>
      </c>
      <c r="J8">
        <v>3786586</v>
      </c>
      <c r="K8" s="6" t="s">
        <v>27</v>
      </c>
      <c r="L8">
        <v>32911</v>
      </c>
      <c r="M8" t="s">
        <v>11</v>
      </c>
      <c r="N8">
        <v>10429</v>
      </c>
      <c r="O8">
        <v>2137674</v>
      </c>
      <c r="P8" t="s">
        <v>30</v>
      </c>
      <c r="Q8">
        <v>40.5</v>
      </c>
      <c r="R8" s="6">
        <v>43881.62777777778</v>
      </c>
    </row>
    <row r="9" spans="1:19" x14ac:dyDescent="0.25">
      <c r="A9" s="7">
        <v>20200221</v>
      </c>
      <c r="B9" s="7">
        <v>224504</v>
      </c>
      <c r="C9" s="7">
        <v>4370284</v>
      </c>
      <c r="D9" s="7" t="s">
        <v>0</v>
      </c>
      <c r="E9" s="7">
        <v>32941</v>
      </c>
      <c r="F9" s="7" t="s">
        <v>11</v>
      </c>
      <c r="G9" s="7">
        <v>247.6</v>
      </c>
      <c r="I9" t="s">
        <v>29</v>
      </c>
      <c r="J9">
        <v>3786586</v>
      </c>
      <c r="K9" s="6" t="s">
        <v>27</v>
      </c>
      <c r="L9">
        <v>32911</v>
      </c>
      <c r="M9" t="s">
        <v>11</v>
      </c>
      <c r="N9">
        <v>10429</v>
      </c>
      <c r="O9">
        <v>2137674</v>
      </c>
      <c r="P9" t="s">
        <v>30</v>
      </c>
      <c r="Q9">
        <v>42.6</v>
      </c>
      <c r="R9" s="6">
        <v>43881.627789351849</v>
      </c>
    </row>
    <row r="10" spans="1:19" x14ac:dyDescent="0.25">
      <c r="A10" s="7">
        <v>20200221</v>
      </c>
      <c r="B10" s="7">
        <v>233050</v>
      </c>
      <c r="C10" s="7">
        <v>4370345</v>
      </c>
      <c r="D10" s="7" t="s">
        <v>0</v>
      </c>
      <c r="E10" s="7">
        <v>32941</v>
      </c>
      <c r="F10" s="7" t="s">
        <v>11</v>
      </c>
      <c r="G10" s="7">
        <v>38.4</v>
      </c>
      <c r="I10" t="s">
        <v>29</v>
      </c>
      <c r="J10">
        <v>3786586</v>
      </c>
      <c r="K10" s="4" t="s">
        <v>27</v>
      </c>
      <c r="L10">
        <v>32911</v>
      </c>
      <c r="M10" t="s">
        <v>11</v>
      </c>
      <c r="N10">
        <v>10429</v>
      </c>
      <c r="O10">
        <v>2137674</v>
      </c>
      <c r="P10" t="s">
        <v>30</v>
      </c>
      <c r="Q10">
        <v>41.7</v>
      </c>
      <c r="R10" s="6">
        <v>43881.627800925926</v>
      </c>
    </row>
    <row r="11" spans="1:19" x14ac:dyDescent="0.25">
      <c r="A11" s="7">
        <v>20200220</v>
      </c>
      <c r="B11" s="7">
        <v>150406</v>
      </c>
      <c r="C11" s="7">
        <v>4367459</v>
      </c>
      <c r="D11" s="7" t="s">
        <v>0</v>
      </c>
      <c r="E11" s="7">
        <v>32911</v>
      </c>
      <c r="F11" s="7" t="s">
        <v>11</v>
      </c>
      <c r="G11" s="7">
        <v>303.2</v>
      </c>
      <c r="I11" s="7" t="s">
        <v>29</v>
      </c>
      <c r="J11" s="7">
        <v>3786586</v>
      </c>
      <c r="K11" s="10" t="s">
        <v>27</v>
      </c>
      <c r="L11" s="7">
        <v>32911</v>
      </c>
      <c r="M11" s="7" t="s">
        <v>11</v>
      </c>
      <c r="N11" s="7">
        <v>10429</v>
      </c>
      <c r="O11" s="7">
        <v>2137674</v>
      </c>
      <c r="P11" s="7" t="s">
        <v>30</v>
      </c>
      <c r="Q11" s="7">
        <v>25</v>
      </c>
      <c r="R11" s="11">
        <v>43881.627812500003</v>
      </c>
      <c r="S11" s="12">
        <f>SUM(Q4:Q11)</f>
        <v>303.2</v>
      </c>
    </row>
    <row r="12" spans="1:19" x14ac:dyDescent="0.25">
      <c r="A12" s="7">
        <v>20200221</v>
      </c>
      <c r="B12" s="7">
        <v>144516</v>
      </c>
      <c r="C12" s="7">
        <v>4369749</v>
      </c>
      <c r="D12" s="7" t="s">
        <v>0</v>
      </c>
      <c r="E12" s="7">
        <v>32941</v>
      </c>
      <c r="F12" s="7" t="s">
        <v>11</v>
      </c>
      <c r="G12" s="7">
        <v>133.4</v>
      </c>
      <c r="I12" t="s">
        <v>29</v>
      </c>
      <c r="J12">
        <v>3786586</v>
      </c>
      <c r="K12" s="4" t="s">
        <v>27</v>
      </c>
      <c r="L12">
        <v>32911</v>
      </c>
      <c r="M12" t="s">
        <v>11</v>
      </c>
      <c r="N12">
        <v>10429</v>
      </c>
      <c r="O12">
        <v>2137674</v>
      </c>
      <c r="P12" t="s">
        <v>30</v>
      </c>
      <c r="Q12">
        <v>42</v>
      </c>
      <c r="R12" s="6">
        <v>43885.436365740738</v>
      </c>
    </row>
    <row r="13" spans="1:19" x14ac:dyDescent="0.25">
      <c r="A13" s="7">
        <v>20200221</v>
      </c>
      <c r="B13" s="7">
        <v>214243</v>
      </c>
      <c r="C13" s="7">
        <v>4370254</v>
      </c>
      <c r="D13" s="7" t="s">
        <v>0</v>
      </c>
      <c r="E13" s="7">
        <v>32941</v>
      </c>
      <c r="F13" s="7" t="s">
        <v>11</v>
      </c>
      <c r="G13" s="7">
        <v>118</v>
      </c>
      <c r="I13" t="s">
        <v>29</v>
      </c>
      <c r="J13">
        <v>3786586</v>
      </c>
      <c r="K13" s="4" t="s">
        <v>27</v>
      </c>
      <c r="L13">
        <v>32911</v>
      </c>
      <c r="M13" t="s">
        <v>11</v>
      </c>
      <c r="N13">
        <v>10429</v>
      </c>
      <c r="O13">
        <v>2137674</v>
      </c>
      <c r="P13" t="s">
        <v>30</v>
      </c>
      <c r="Q13">
        <v>44.7</v>
      </c>
      <c r="R13" s="6">
        <v>43885.436365740738</v>
      </c>
    </row>
    <row r="14" spans="1:19" x14ac:dyDescent="0.25">
      <c r="A14" s="7">
        <v>20200221</v>
      </c>
      <c r="B14" s="7">
        <v>210047</v>
      </c>
      <c r="C14" s="7">
        <v>4370239</v>
      </c>
      <c r="D14" s="7" t="s">
        <v>0</v>
      </c>
      <c r="E14" s="7">
        <v>32941</v>
      </c>
      <c r="F14" s="7" t="s">
        <v>11</v>
      </c>
      <c r="G14" s="7">
        <v>374.1</v>
      </c>
      <c r="I14" t="s">
        <v>29</v>
      </c>
      <c r="J14">
        <v>3786586</v>
      </c>
      <c r="K14" s="4" t="s">
        <v>27</v>
      </c>
      <c r="L14">
        <v>32911</v>
      </c>
      <c r="M14" t="s">
        <v>11</v>
      </c>
      <c r="N14">
        <v>10429</v>
      </c>
      <c r="O14">
        <v>2137674</v>
      </c>
      <c r="P14" t="s">
        <v>30</v>
      </c>
      <c r="Q14">
        <v>41.4</v>
      </c>
      <c r="R14" s="6">
        <v>43885.436365740738</v>
      </c>
    </row>
    <row r="15" spans="1:19" x14ac:dyDescent="0.25">
      <c r="A15" s="7">
        <v>20200221</v>
      </c>
      <c r="B15" s="7">
        <v>142250</v>
      </c>
      <c r="C15" s="7">
        <v>4369731</v>
      </c>
      <c r="D15" s="7" t="s">
        <v>0</v>
      </c>
      <c r="E15" s="7">
        <v>32941</v>
      </c>
      <c r="F15" s="7" t="s">
        <v>11</v>
      </c>
      <c r="G15" s="7">
        <v>43.8</v>
      </c>
      <c r="I15" t="s">
        <v>29</v>
      </c>
      <c r="J15">
        <v>3786586</v>
      </c>
      <c r="K15" s="4" t="s">
        <v>27</v>
      </c>
      <c r="L15">
        <v>32911</v>
      </c>
      <c r="M15" t="s">
        <v>11</v>
      </c>
      <c r="N15">
        <v>10429</v>
      </c>
      <c r="O15">
        <v>2137674</v>
      </c>
      <c r="P15" t="s">
        <v>30</v>
      </c>
      <c r="Q15">
        <v>40.299999999999997</v>
      </c>
      <c r="R15" s="6">
        <v>43885.436365740738</v>
      </c>
    </row>
    <row r="16" spans="1:19" x14ac:dyDescent="0.25">
      <c r="A16" s="7">
        <v>20200221</v>
      </c>
      <c r="B16" s="7">
        <v>204334</v>
      </c>
      <c r="C16" s="7">
        <v>4370220</v>
      </c>
      <c r="D16" s="7" t="s">
        <v>0</v>
      </c>
      <c r="E16" s="7">
        <v>32941</v>
      </c>
      <c r="F16" s="7" t="s">
        <v>11</v>
      </c>
      <c r="G16" s="7">
        <v>126.2</v>
      </c>
      <c r="I16" t="s">
        <v>29</v>
      </c>
      <c r="J16">
        <v>3786586</v>
      </c>
      <c r="K16" s="4" t="s">
        <v>27</v>
      </c>
      <c r="L16">
        <v>32911</v>
      </c>
      <c r="M16" t="s">
        <v>11</v>
      </c>
      <c r="N16">
        <v>10429</v>
      </c>
      <c r="O16">
        <v>2137674</v>
      </c>
      <c r="P16" t="s">
        <v>30</v>
      </c>
      <c r="Q16">
        <v>42.7</v>
      </c>
      <c r="R16" s="6">
        <v>43885.436377314814</v>
      </c>
    </row>
    <row r="17" spans="1:19" x14ac:dyDescent="0.25">
      <c r="A17" s="13">
        <v>20200221</v>
      </c>
      <c r="B17" s="13">
        <v>115628</v>
      </c>
      <c r="C17" s="13">
        <v>4369631</v>
      </c>
      <c r="D17" s="13" t="s">
        <v>0</v>
      </c>
      <c r="E17" s="13">
        <v>32941</v>
      </c>
      <c r="F17" s="13" t="s">
        <v>11</v>
      </c>
      <c r="G17" s="13">
        <v>208</v>
      </c>
      <c r="I17" t="s">
        <v>29</v>
      </c>
      <c r="J17">
        <v>3786586</v>
      </c>
      <c r="K17" s="4" t="s">
        <v>27</v>
      </c>
      <c r="L17">
        <v>32911</v>
      </c>
      <c r="M17" t="s">
        <v>11</v>
      </c>
      <c r="N17">
        <v>10429</v>
      </c>
      <c r="O17">
        <v>2137674</v>
      </c>
      <c r="P17" t="s">
        <v>30</v>
      </c>
      <c r="Q17">
        <v>37.700000000000003</v>
      </c>
      <c r="R17" s="6">
        <v>43885.436377314814</v>
      </c>
    </row>
    <row r="18" spans="1:19" x14ac:dyDescent="0.25">
      <c r="I18" t="s">
        <v>29</v>
      </c>
      <c r="J18">
        <v>3786586</v>
      </c>
      <c r="K18" s="4" t="s">
        <v>27</v>
      </c>
      <c r="L18">
        <v>32911</v>
      </c>
      <c r="M18" t="s">
        <v>11</v>
      </c>
      <c r="N18">
        <v>10429</v>
      </c>
      <c r="O18">
        <v>2137674</v>
      </c>
      <c r="P18" t="s">
        <v>30</v>
      </c>
      <c r="Q18">
        <v>42.5</v>
      </c>
      <c r="R18" s="6">
        <v>43885.436377314814</v>
      </c>
    </row>
    <row r="19" spans="1:19" x14ac:dyDescent="0.25">
      <c r="I19" t="s">
        <v>29</v>
      </c>
      <c r="J19">
        <v>3786586</v>
      </c>
      <c r="K19" s="4" t="s">
        <v>27</v>
      </c>
      <c r="L19">
        <v>32911</v>
      </c>
      <c r="M19" t="s">
        <v>11</v>
      </c>
      <c r="N19">
        <v>10429</v>
      </c>
      <c r="O19">
        <v>2137674</v>
      </c>
      <c r="P19" t="s">
        <v>30</v>
      </c>
      <c r="Q19">
        <v>39.299999999999997</v>
      </c>
      <c r="R19" s="6">
        <v>43885.436377314814</v>
      </c>
    </row>
    <row r="20" spans="1:19" x14ac:dyDescent="0.25">
      <c r="I20" t="s">
        <v>29</v>
      </c>
      <c r="J20">
        <v>3786586</v>
      </c>
      <c r="K20" s="4" t="s">
        <v>27</v>
      </c>
      <c r="L20">
        <v>32911</v>
      </c>
      <c r="M20" t="s">
        <v>11</v>
      </c>
      <c r="N20">
        <v>10429</v>
      </c>
      <c r="O20">
        <v>2137674</v>
      </c>
      <c r="P20" t="s">
        <v>30</v>
      </c>
      <c r="Q20">
        <v>41.7</v>
      </c>
      <c r="R20" s="6">
        <v>43885.436377314814</v>
      </c>
    </row>
    <row r="21" spans="1:19" x14ac:dyDescent="0.25">
      <c r="I21" s="7" t="s">
        <v>29</v>
      </c>
      <c r="J21" s="7">
        <v>3786586</v>
      </c>
      <c r="K21" s="10" t="s">
        <v>27</v>
      </c>
      <c r="L21" s="7">
        <v>32911</v>
      </c>
      <c r="M21" s="7" t="s">
        <v>11</v>
      </c>
      <c r="N21" s="7">
        <v>10429</v>
      </c>
      <c r="O21" s="7">
        <v>2137674</v>
      </c>
      <c r="P21" s="7" t="s">
        <v>30</v>
      </c>
      <c r="Q21" s="7">
        <v>40.4</v>
      </c>
      <c r="R21" s="11">
        <v>43885.436377314814</v>
      </c>
      <c r="S21" s="7">
        <f>SUM(Q12:Q21)</f>
        <v>412.69999999999993</v>
      </c>
    </row>
    <row r="22" spans="1:19" x14ac:dyDescent="0.25">
      <c r="I22" t="s">
        <v>29</v>
      </c>
      <c r="J22">
        <v>3786678</v>
      </c>
      <c r="K22" s="4" t="s">
        <v>27</v>
      </c>
      <c r="L22">
        <v>32931</v>
      </c>
      <c r="M22" t="s">
        <v>11</v>
      </c>
      <c r="N22">
        <v>10505</v>
      </c>
      <c r="O22">
        <v>2137674</v>
      </c>
      <c r="P22" t="s">
        <v>30</v>
      </c>
      <c r="Q22">
        <v>40.1</v>
      </c>
      <c r="R22" s="6">
        <v>43881.9140625</v>
      </c>
    </row>
    <row r="23" spans="1:19" x14ac:dyDescent="0.25">
      <c r="I23" t="s">
        <v>29</v>
      </c>
      <c r="J23">
        <v>3786678</v>
      </c>
      <c r="K23" s="4" t="s">
        <v>27</v>
      </c>
      <c r="L23">
        <v>32931</v>
      </c>
      <c r="M23" t="s">
        <v>11</v>
      </c>
      <c r="N23">
        <v>10505</v>
      </c>
      <c r="O23">
        <v>2137674</v>
      </c>
      <c r="P23" t="s">
        <v>30</v>
      </c>
      <c r="Q23">
        <v>32.700000000000003</v>
      </c>
      <c r="R23" s="6">
        <v>43881.9140625</v>
      </c>
    </row>
    <row r="24" spans="1:19" x14ac:dyDescent="0.25">
      <c r="I24" t="s">
        <v>29</v>
      </c>
      <c r="J24">
        <v>3786678</v>
      </c>
      <c r="K24" s="4" t="s">
        <v>27</v>
      </c>
      <c r="L24">
        <v>32931</v>
      </c>
      <c r="M24" t="s">
        <v>11</v>
      </c>
      <c r="N24">
        <v>10505</v>
      </c>
      <c r="O24">
        <v>2137674</v>
      </c>
      <c r="P24" t="s">
        <v>30</v>
      </c>
      <c r="Q24">
        <v>32.6</v>
      </c>
      <c r="R24" s="6">
        <v>43881.914074074077</v>
      </c>
    </row>
    <row r="25" spans="1:19" x14ac:dyDescent="0.25">
      <c r="I25" t="s">
        <v>29</v>
      </c>
      <c r="J25">
        <v>3786678</v>
      </c>
      <c r="K25" s="4" t="s">
        <v>27</v>
      </c>
      <c r="L25">
        <v>32931</v>
      </c>
      <c r="M25" t="s">
        <v>11</v>
      </c>
      <c r="N25">
        <v>10505</v>
      </c>
      <c r="O25">
        <v>2137674</v>
      </c>
      <c r="P25" t="s">
        <v>30</v>
      </c>
      <c r="Q25">
        <v>34.5</v>
      </c>
      <c r="R25" s="6">
        <v>43881.914074074077</v>
      </c>
    </row>
    <row r="26" spans="1:19" x14ac:dyDescent="0.25">
      <c r="I26" t="s">
        <v>29</v>
      </c>
      <c r="J26">
        <v>3786678</v>
      </c>
      <c r="K26" s="4" t="s">
        <v>27</v>
      </c>
      <c r="L26">
        <v>32931</v>
      </c>
      <c r="M26" t="s">
        <v>11</v>
      </c>
      <c r="N26">
        <v>10505</v>
      </c>
      <c r="O26">
        <v>2137674</v>
      </c>
      <c r="P26" t="s">
        <v>30</v>
      </c>
      <c r="Q26">
        <v>33.9</v>
      </c>
      <c r="R26" s="6">
        <v>43881.914085648146</v>
      </c>
    </row>
    <row r="27" spans="1:19" x14ac:dyDescent="0.25">
      <c r="I27" t="s">
        <v>29</v>
      </c>
      <c r="J27">
        <v>3786678</v>
      </c>
      <c r="K27" s="4" t="s">
        <v>27</v>
      </c>
      <c r="L27">
        <v>32931</v>
      </c>
      <c r="M27" t="s">
        <v>11</v>
      </c>
      <c r="N27">
        <v>10505</v>
      </c>
      <c r="O27">
        <v>2137674</v>
      </c>
      <c r="P27" t="s">
        <v>30</v>
      </c>
      <c r="Q27">
        <v>31.8</v>
      </c>
      <c r="R27" s="6">
        <v>43881.914085648146</v>
      </c>
    </row>
    <row r="28" spans="1:19" x14ac:dyDescent="0.25">
      <c r="I28" t="s">
        <v>29</v>
      </c>
      <c r="J28">
        <v>3786678</v>
      </c>
      <c r="K28" s="4" t="s">
        <v>27</v>
      </c>
      <c r="L28">
        <v>32931</v>
      </c>
      <c r="M28" t="s">
        <v>11</v>
      </c>
      <c r="N28">
        <v>10505</v>
      </c>
      <c r="O28">
        <v>2137674</v>
      </c>
      <c r="P28" t="s">
        <v>30</v>
      </c>
      <c r="Q28">
        <v>34.1</v>
      </c>
      <c r="R28" s="6">
        <v>43881.914085648146</v>
      </c>
    </row>
    <row r="29" spans="1:19" x14ac:dyDescent="0.25">
      <c r="I29" t="s">
        <v>29</v>
      </c>
      <c r="J29">
        <v>3786678</v>
      </c>
      <c r="K29" s="4" t="s">
        <v>27</v>
      </c>
      <c r="L29">
        <v>32931</v>
      </c>
      <c r="M29" t="s">
        <v>11</v>
      </c>
      <c r="N29">
        <v>10505</v>
      </c>
      <c r="O29">
        <v>2137674</v>
      </c>
      <c r="P29" t="s">
        <v>30</v>
      </c>
      <c r="Q29">
        <v>33.299999999999997</v>
      </c>
      <c r="R29" s="6">
        <v>43881.914085648146</v>
      </c>
    </row>
    <row r="30" spans="1:19" x14ac:dyDescent="0.25">
      <c r="I30" s="7" t="s">
        <v>29</v>
      </c>
      <c r="J30" s="7">
        <v>3786678</v>
      </c>
      <c r="K30" s="10" t="s">
        <v>27</v>
      </c>
      <c r="L30" s="7">
        <v>32931</v>
      </c>
      <c r="M30" s="7" t="s">
        <v>11</v>
      </c>
      <c r="N30" s="7">
        <v>10505</v>
      </c>
      <c r="O30" s="7">
        <v>2137674</v>
      </c>
      <c r="P30" s="7" t="s">
        <v>30</v>
      </c>
      <c r="Q30" s="7">
        <v>33.200000000000003</v>
      </c>
      <c r="R30" s="11">
        <v>43881.914097222223</v>
      </c>
      <c r="S30" s="7">
        <f>SUM(Q22:Q30)</f>
        <v>306.2</v>
      </c>
    </row>
    <row r="31" spans="1:19" x14ac:dyDescent="0.25">
      <c r="I31" t="s">
        <v>29</v>
      </c>
      <c r="J31">
        <v>3786701</v>
      </c>
      <c r="K31" s="4" t="s">
        <v>27</v>
      </c>
      <c r="L31">
        <v>32941</v>
      </c>
      <c r="M31" t="s">
        <v>11</v>
      </c>
      <c r="N31">
        <v>10507</v>
      </c>
      <c r="O31">
        <v>2137674</v>
      </c>
      <c r="P31" t="s">
        <v>30</v>
      </c>
      <c r="Q31">
        <v>37.9</v>
      </c>
      <c r="R31" s="6">
        <v>43882.497534722221</v>
      </c>
    </row>
    <row r="32" spans="1:19" x14ac:dyDescent="0.25">
      <c r="I32" t="s">
        <v>29</v>
      </c>
      <c r="J32">
        <v>3786701</v>
      </c>
      <c r="K32" s="4" t="s">
        <v>27</v>
      </c>
      <c r="L32">
        <v>32941</v>
      </c>
      <c r="M32" t="s">
        <v>11</v>
      </c>
      <c r="N32">
        <v>10507</v>
      </c>
      <c r="O32">
        <v>2137674</v>
      </c>
      <c r="P32" t="s">
        <v>30</v>
      </c>
      <c r="Q32">
        <v>43.2</v>
      </c>
      <c r="R32" s="6">
        <v>43882.497534722221</v>
      </c>
    </row>
    <row r="33" spans="9:19" x14ac:dyDescent="0.25">
      <c r="I33" t="s">
        <v>29</v>
      </c>
      <c r="J33">
        <v>3786701</v>
      </c>
      <c r="K33" s="4" t="s">
        <v>27</v>
      </c>
      <c r="L33">
        <v>32941</v>
      </c>
      <c r="M33" t="s">
        <v>11</v>
      </c>
      <c r="N33">
        <v>10507</v>
      </c>
      <c r="O33">
        <v>2137674</v>
      </c>
      <c r="P33" t="s">
        <v>30</v>
      </c>
      <c r="Q33">
        <v>41.3</v>
      </c>
      <c r="R33" s="6">
        <v>43882.497534722221</v>
      </c>
    </row>
    <row r="34" spans="9:19" x14ac:dyDescent="0.25">
      <c r="I34" t="s">
        <v>29</v>
      </c>
      <c r="J34">
        <v>3786701</v>
      </c>
      <c r="K34" s="4" t="s">
        <v>27</v>
      </c>
      <c r="L34">
        <v>32941</v>
      </c>
      <c r="M34" t="s">
        <v>11</v>
      </c>
      <c r="N34">
        <v>10507</v>
      </c>
      <c r="O34">
        <v>2137674</v>
      </c>
      <c r="P34" t="s">
        <v>30</v>
      </c>
      <c r="Q34">
        <v>43</v>
      </c>
      <c r="R34" s="6">
        <v>43882.497546296298</v>
      </c>
    </row>
    <row r="35" spans="9:19" x14ac:dyDescent="0.25">
      <c r="I35" s="7" t="s">
        <v>29</v>
      </c>
      <c r="J35" s="7">
        <v>3786701</v>
      </c>
      <c r="K35" s="10" t="s">
        <v>27</v>
      </c>
      <c r="L35" s="7">
        <v>32941</v>
      </c>
      <c r="M35" s="7" t="s">
        <v>11</v>
      </c>
      <c r="N35" s="7">
        <v>10507</v>
      </c>
      <c r="O35" s="7">
        <v>2137674</v>
      </c>
      <c r="P35" s="7" t="s">
        <v>30</v>
      </c>
      <c r="Q35" s="7">
        <v>42.6</v>
      </c>
      <c r="R35" s="11">
        <v>43882.497546296298</v>
      </c>
      <c r="S35" s="7">
        <f>SUM(Q31:Q35)</f>
        <v>207.99999999999997</v>
      </c>
    </row>
    <row r="36" spans="9:19" x14ac:dyDescent="0.25">
      <c r="I36" s="7" t="s">
        <v>29</v>
      </c>
      <c r="J36" s="7">
        <v>3786701</v>
      </c>
      <c r="K36" s="7" t="s">
        <v>27</v>
      </c>
      <c r="L36" s="7">
        <v>32941</v>
      </c>
      <c r="M36" s="7" t="s">
        <v>11</v>
      </c>
      <c r="N36" s="7">
        <v>10507</v>
      </c>
      <c r="O36" s="7">
        <v>2137674</v>
      </c>
      <c r="P36" s="7" t="s">
        <v>30</v>
      </c>
      <c r="Q36" s="7">
        <v>43.8</v>
      </c>
      <c r="R36" s="7">
        <v>43882.599184455998</v>
      </c>
      <c r="S36" s="7">
        <f>SUM(Q36)</f>
        <v>43.8</v>
      </c>
    </row>
    <row r="37" spans="9:19" x14ac:dyDescent="0.25">
      <c r="I37" t="s">
        <v>29</v>
      </c>
      <c r="J37">
        <v>3786701</v>
      </c>
      <c r="K37" s="4" t="s">
        <v>27</v>
      </c>
      <c r="L37">
        <v>32941</v>
      </c>
      <c r="M37" t="s">
        <v>11</v>
      </c>
      <c r="N37">
        <v>10507</v>
      </c>
      <c r="O37">
        <v>2137674</v>
      </c>
      <c r="P37" t="s">
        <v>30</v>
      </c>
      <c r="Q37">
        <v>16.8</v>
      </c>
      <c r="R37" s="6">
        <v>43882.617569444446</v>
      </c>
    </row>
    <row r="38" spans="9:19" x14ac:dyDescent="0.25">
      <c r="I38" s="7" t="s">
        <v>29</v>
      </c>
      <c r="J38" s="7">
        <v>3786701</v>
      </c>
      <c r="K38" s="10" t="s">
        <v>27</v>
      </c>
      <c r="L38" s="7">
        <v>32941</v>
      </c>
      <c r="M38" s="7" t="s">
        <v>11</v>
      </c>
      <c r="N38" s="7">
        <v>10507</v>
      </c>
      <c r="O38" s="7">
        <v>2137674</v>
      </c>
      <c r="P38" s="7" t="s">
        <v>30</v>
      </c>
      <c r="Q38" s="7">
        <v>44.6</v>
      </c>
      <c r="R38" s="11">
        <v>43882.617569444446</v>
      </c>
      <c r="S38" s="7">
        <f>SUM(Q37:Q38)</f>
        <v>61.400000000000006</v>
      </c>
    </row>
    <row r="39" spans="9:19" x14ac:dyDescent="0.25">
      <c r="I39" s="7" t="s">
        <v>29</v>
      </c>
      <c r="J39" s="7">
        <v>3786701</v>
      </c>
      <c r="K39" s="10" t="s">
        <v>27</v>
      </c>
      <c r="L39" s="7">
        <v>32941</v>
      </c>
      <c r="M39" s="7" t="s">
        <v>11</v>
      </c>
      <c r="N39" s="7">
        <v>10507</v>
      </c>
      <c r="O39" s="7">
        <v>2137674</v>
      </c>
      <c r="P39" s="7" t="s">
        <v>30</v>
      </c>
      <c r="Q39" s="7">
        <v>39.1</v>
      </c>
      <c r="R39" s="11">
        <v>43882.651354166665</v>
      </c>
      <c r="S39" s="7">
        <f>$Q$39</f>
        <v>39.1</v>
      </c>
    </row>
    <row r="40" spans="9:19" x14ac:dyDescent="0.25">
      <c r="I40" t="s">
        <v>29</v>
      </c>
      <c r="J40">
        <v>3786701</v>
      </c>
      <c r="K40" s="4" t="s">
        <v>27</v>
      </c>
      <c r="L40">
        <v>32941</v>
      </c>
      <c r="M40" t="s">
        <v>11</v>
      </c>
      <c r="N40">
        <v>10507</v>
      </c>
      <c r="O40">
        <v>2137674</v>
      </c>
      <c r="P40" t="s">
        <v>30</v>
      </c>
      <c r="Q40">
        <v>39.4</v>
      </c>
      <c r="R40" s="6">
        <v>43882.875497685185</v>
      </c>
    </row>
    <row r="41" spans="9:19" x14ac:dyDescent="0.25">
      <c r="I41" t="s">
        <v>29</v>
      </c>
      <c r="J41">
        <v>3786701</v>
      </c>
      <c r="K41" s="4" t="s">
        <v>27</v>
      </c>
      <c r="L41">
        <v>32941</v>
      </c>
      <c r="M41" t="s">
        <v>11</v>
      </c>
      <c r="N41">
        <v>10507</v>
      </c>
      <c r="O41">
        <v>2137674</v>
      </c>
      <c r="P41" t="s">
        <v>30</v>
      </c>
      <c r="Q41">
        <v>43.5</v>
      </c>
      <c r="R41" s="6">
        <v>43882.875497685185</v>
      </c>
    </row>
    <row r="42" spans="9:19" x14ac:dyDescent="0.25">
      <c r="I42" t="s">
        <v>29</v>
      </c>
      <c r="J42">
        <v>3786701</v>
      </c>
      <c r="K42" s="4" t="s">
        <v>27</v>
      </c>
      <c r="L42">
        <v>32941</v>
      </c>
      <c r="M42" t="s">
        <v>11</v>
      </c>
      <c r="N42">
        <v>10507</v>
      </c>
      <c r="O42">
        <v>2137674</v>
      </c>
      <c r="P42" t="s">
        <v>30</v>
      </c>
      <c r="Q42">
        <v>40.6</v>
      </c>
      <c r="R42" s="6">
        <v>43882.875497685185</v>
      </c>
    </row>
    <row r="43" spans="9:19" x14ac:dyDescent="0.25">
      <c r="I43" t="s">
        <v>29</v>
      </c>
      <c r="J43">
        <v>3786701</v>
      </c>
      <c r="K43" s="4" t="s">
        <v>27</v>
      </c>
      <c r="L43">
        <v>32941</v>
      </c>
      <c r="M43" t="s">
        <v>11</v>
      </c>
      <c r="N43">
        <v>10507</v>
      </c>
      <c r="O43">
        <v>2137674</v>
      </c>
      <c r="P43" t="s">
        <v>30</v>
      </c>
      <c r="Q43">
        <v>42.4</v>
      </c>
      <c r="R43" s="6">
        <v>43882.875509259262</v>
      </c>
    </row>
    <row r="44" spans="9:19" x14ac:dyDescent="0.25">
      <c r="I44" t="s">
        <v>29</v>
      </c>
      <c r="J44">
        <v>3786701</v>
      </c>
      <c r="K44" s="4" t="s">
        <v>27</v>
      </c>
      <c r="L44">
        <v>32941</v>
      </c>
      <c r="M44" t="s">
        <v>11</v>
      </c>
      <c r="N44">
        <v>10507</v>
      </c>
      <c r="O44">
        <v>2137674</v>
      </c>
      <c r="P44" t="s">
        <v>30</v>
      </c>
      <c r="Q44">
        <v>43.1</v>
      </c>
      <c r="R44" s="6">
        <v>43882.875509259262</v>
      </c>
    </row>
    <row r="45" spans="9:19" x14ac:dyDescent="0.25">
      <c r="I45" t="s">
        <v>29</v>
      </c>
      <c r="J45">
        <v>3786701</v>
      </c>
      <c r="K45" s="4" t="s">
        <v>27</v>
      </c>
      <c r="L45">
        <v>32941</v>
      </c>
      <c r="M45" t="s">
        <v>11</v>
      </c>
      <c r="N45">
        <v>10507</v>
      </c>
      <c r="O45">
        <v>2137674</v>
      </c>
      <c r="P45" t="s">
        <v>30</v>
      </c>
      <c r="Q45">
        <v>42.2</v>
      </c>
      <c r="R45" s="6">
        <v>43882.875509259262</v>
      </c>
    </row>
    <row r="46" spans="9:19" x14ac:dyDescent="0.25">
      <c r="I46" t="s">
        <v>29</v>
      </c>
      <c r="J46">
        <v>3786701</v>
      </c>
      <c r="K46" s="4" t="s">
        <v>27</v>
      </c>
      <c r="L46">
        <v>32941</v>
      </c>
      <c r="M46" t="s">
        <v>11</v>
      </c>
      <c r="N46">
        <v>10507</v>
      </c>
      <c r="O46">
        <v>2137674</v>
      </c>
      <c r="P46" t="s">
        <v>30</v>
      </c>
      <c r="Q46">
        <v>41.5</v>
      </c>
      <c r="R46" s="6">
        <v>43882.875509259262</v>
      </c>
    </row>
    <row r="47" spans="9:19" x14ac:dyDescent="0.25">
      <c r="I47" t="s">
        <v>29</v>
      </c>
      <c r="J47">
        <v>3786701</v>
      </c>
      <c r="K47" s="4" t="s">
        <v>27</v>
      </c>
      <c r="L47">
        <v>32941</v>
      </c>
      <c r="M47" t="s">
        <v>11</v>
      </c>
      <c r="N47">
        <v>10507</v>
      </c>
      <c r="O47">
        <v>2137674</v>
      </c>
      <c r="P47" t="s">
        <v>30</v>
      </c>
      <c r="Q47">
        <v>41.7</v>
      </c>
      <c r="R47" s="6">
        <v>43882.875520833331</v>
      </c>
    </row>
    <row r="48" spans="9:19" x14ac:dyDescent="0.25">
      <c r="I48" s="7" t="s">
        <v>29</v>
      </c>
      <c r="J48" s="7">
        <v>3786701</v>
      </c>
      <c r="K48" s="10" t="s">
        <v>27</v>
      </c>
      <c r="L48" s="7">
        <v>32941</v>
      </c>
      <c r="M48" s="7" t="s">
        <v>11</v>
      </c>
      <c r="N48" s="7">
        <v>10507</v>
      </c>
      <c r="O48" s="7">
        <v>2137674</v>
      </c>
      <c r="P48" s="7" t="s">
        <v>30</v>
      </c>
      <c r="Q48" s="7">
        <v>39.700000000000003</v>
      </c>
      <c r="R48" s="11">
        <v>43882.875520833331</v>
      </c>
      <c r="S48" s="7">
        <f>SUM(Q40:Q48)</f>
        <v>374.09999999999997</v>
      </c>
    </row>
    <row r="49" spans="9:19" x14ac:dyDescent="0.25">
      <c r="I49" t="s">
        <v>29</v>
      </c>
      <c r="J49">
        <v>3786701</v>
      </c>
      <c r="K49" s="4" t="s">
        <v>27</v>
      </c>
      <c r="L49">
        <v>32941</v>
      </c>
      <c r="M49" t="s">
        <v>11</v>
      </c>
      <c r="N49">
        <v>10507</v>
      </c>
      <c r="O49">
        <v>2137674</v>
      </c>
      <c r="P49" t="s">
        <v>30</v>
      </c>
      <c r="Q49">
        <v>40.299999999999997</v>
      </c>
      <c r="R49" s="6">
        <v>43885.376585648148</v>
      </c>
    </row>
    <row r="50" spans="9:19" x14ac:dyDescent="0.25">
      <c r="I50" t="s">
        <v>29</v>
      </c>
      <c r="J50">
        <v>3786701</v>
      </c>
      <c r="K50" s="4" t="s">
        <v>27</v>
      </c>
      <c r="L50">
        <v>32941</v>
      </c>
      <c r="M50" t="s">
        <v>11</v>
      </c>
      <c r="N50">
        <v>10507</v>
      </c>
      <c r="O50">
        <v>2137674</v>
      </c>
      <c r="P50" t="s">
        <v>30</v>
      </c>
      <c r="Q50">
        <v>41.6</v>
      </c>
      <c r="R50" s="6">
        <v>43885.376585648148</v>
      </c>
    </row>
    <row r="51" spans="9:19" x14ac:dyDescent="0.25">
      <c r="I51" t="s">
        <v>29</v>
      </c>
      <c r="J51">
        <v>3786701</v>
      </c>
      <c r="K51" s="4" t="s">
        <v>27</v>
      </c>
      <c r="L51">
        <v>32941</v>
      </c>
      <c r="M51" t="s">
        <v>11</v>
      </c>
      <c r="N51">
        <v>10507</v>
      </c>
      <c r="O51">
        <v>2137674</v>
      </c>
      <c r="P51" t="s">
        <v>30</v>
      </c>
      <c r="Q51">
        <v>39.9</v>
      </c>
      <c r="R51" s="6">
        <v>43885.376585648148</v>
      </c>
    </row>
    <row r="52" spans="9:19" x14ac:dyDescent="0.25">
      <c r="I52" t="s">
        <v>29</v>
      </c>
      <c r="J52">
        <v>3786701</v>
      </c>
      <c r="K52" s="4" t="s">
        <v>27</v>
      </c>
      <c r="L52">
        <v>32941</v>
      </c>
      <c r="M52" t="s">
        <v>11</v>
      </c>
      <c r="N52">
        <v>10507</v>
      </c>
      <c r="O52">
        <v>2137674</v>
      </c>
      <c r="P52" t="s">
        <v>30</v>
      </c>
      <c r="Q52">
        <v>38.799999999999997</v>
      </c>
      <c r="R52" s="6">
        <v>43885.376585648148</v>
      </c>
    </row>
    <row r="53" spans="9:19" x14ac:dyDescent="0.25">
      <c r="I53" s="7" t="s">
        <v>29</v>
      </c>
      <c r="J53" s="7">
        <v>3786701</v>
      </c>
      <c r="K53" s="10" t="s">
        <v>27</v>
      </c>
      <c r="L53" s="7">
        <v>32941</v>
      </c>
      <c r="M53" s="7" t="s">
        <v>11</v>
      </c>
      <c r="N53" s="7">
        <v>10507</v>
      </c>
      <c r="O53" s="7">
        <v>2137674</v>
      </c>
      <c r="P53" s="7" t="s">
        <v>30</v>
      </c>
      <c r="Q53" s="7">
        <v>40.5</v>
      </c>
      <c r="R53" s="11">
        <v>43885.376597222225</v>
      </c>
      <c r="S53" s="7">
        <f>SUM(Q49:Q53)</f>
        <v>201.10000000000002</v>
      </c>
    </row>
    <row r="54" spans="9:19" x14ac:dyDescent="0.25">
      <c r="I54" t="s">
        <v>29</v>
      </c>
      <c r="J54">
        <v>3786752</v>
      </c>
      <c r="K54" s="4" t="s">
        <v>27</v>
      </c>
      <c r="L54">
        <v>32941</v>
      </c>
      <c r="M54" t="s">
        <v>11</v>
      </c>
      <c r="N54">
        <v>10550</v>
      </c>
      <c r="O54">
        <v>2137674</v>
      </c>
      <c r="P54" t="s">
        <v>30</v>
      </c>
      <c r="Q54">
        <v>47.8</v>
      </c>
      <c r="R54" s="6">
        <v>43882.614756944444</v>
      </c>
    </row>
    <row r="55" spans="9:19" x14ac:dyDescent="0.25">
      <c r="I55" t="s">
        <v>29</v>
      </c>
      <c r="J55">
        <v>3786752</v>
      </c>
      <c r="K55" t="s">
        <v>27</v>
      </c>
      <c r="L55">
        <v>32941</v>
      </c>
      <c r="M55" t="s">
        <v>11</v>
      </c>
      <c r="N55">
        <v>10550</v>
      </c>
      <c r="O55">
        <v>2137674</v>
      </c>
      <c r="P55" t="s">
        <v>30</v>
      </c>
      <c r="Q55">
        <v>41.9</v>
      </c>
      <c r="R55" s="6">
        <v>43882.614756944444</v>
      </c>
    </row>
    <row r="56" spans="9:19" x14ac:dyDescent="0.25">
      <c r="I56" s="7" t="s">
        <v>29</v>
      </c>
      <c r="J56" s="7">
        <v>3786752</v>
      </c>
      <c r="K56" s="10" t="s">
        <v>27</v>
      </c>
      <c r="L56" s="7">
        <v>32941</v>
      </c>
      <c r="M56" s="7" t="s">
        <v>11</v>
      </c>
      <c r="N56" s="7">
        <v>10550</v>
      </c>
      <c r="O56" s="7">
        <v>2137674</v>
      </c>
      <c r="P56" s="7" t="s">
        <v>30</v>
      </c>
      <c r="Q56" s="7">
        <v>43.7</v>
      </c>
      <c r="R56" s="11">
        <v>43882.614756944444</v>
      </c>
      <c r="S56" s="7">
        <f>SUM(Q54:Q56)</f>
        <v>133.39999999999998</v>
      </c>
    </row>
    <row r="57" spans="9:19" x14ac:dyDescent="0.25">
      <c r="I57" t="s">
        <v>29</v>
      </c>
      <c r="J57">
        <v>3786752</v>
      </c>
      <c r="K57" s="4" t="s">
        <v>27</v>
      </c>
      <c r="L57">
        <v>32941</v>
      </c>
      <c r="M57" t="s">
        <v>11</v>
      </c>
      <c r="N57">
        <v>10550</v>
      </c>
      <c r="O57">
        <v>2137674</v>
      </c>
      <c r="P57" t="s">
        <v>30</v>
      </c>
      <c r="Q57">
        <v>43.9</v>
      </c>
      <c r="R57" s="6">
        <v>43882.863576388889</v>
      </c>
    </row>
    <row r="58" spans="9:19" x14ac:dyDescent="0.25">
      <c r="I58" t="s">
        <v>29</v>
      </c>
      <c r="J58">
        <v>3786752</v>
      </c>
      <c r="K58" s="4" t="s">
        <v>27</v>
      </c>
      <c r="L58">
        <v>32941</v>
      </c>
      <c r="M58" t="s">
        <v>11</v>
      </c>
      <c r="N58">
        <v>10550</v>
      </c>
      <c r="O58">
        <v>2137674</v>
      </c>
      <c r="P58" t="s">
        <v>30</v>
      </c>
      <c r="Q58">
        <v>40.200000000000003</v>
      </c>
      <c r="R58" s="6">
        <v>43882.863587962966</v>
      </c>
    </row>
    <row r="59" spans="9:19" x14ac:dyDescent="0.25">
      <c r="I59" s="7" t="s">
        <v>29</v>
      </c>
      <c r="J59" s="7">
        <v>3786752</v>
      </c>
      <c r="K59" s="10" t="s">
        <v>27</v>
      </c>
      <c r="L59" s="7">
        <v>32941</v>
      </c>
      <c r="M59" s="7" t="s">
        <v>11</v>
      </c>
      <c r="N59" s="7">
        <v>10550</v>
      </c>
      <c r="O59" s="7">
        <v>2137674</v>
      </c>
      <c r="P59" s="7" t="s">
        <v>30</v>
      </c>
      <c r="Q59" s="7">
        <v>42.1</v>
      </c>
      <c r="R59" s="11">
        <v>43882.863587962966</v>
      </c>
      <c r="S59" s="7">
        <f>SUM(Q57:Q59)</f>
        <v>126.19999999999999</v>
      </c>
    </row>
    <row r="60" spans="9:19" x14ac:dyDescent="0.25">
      <c r="I60" t="s">
        <v>29</v>
      </c>
      <c r="J60">
        <v>3786752</v>
      </c>
      <c r="K60" s="4" t="s">
        <v>27</v>
      </c>
      <c r="L60">
        <v>32941</v>
      </c>
      <c r="M60" t="s">
        <v>11</v>
      </c>
      <c r="N60">
        <v>10550</v>
      </c>
      <c r="O60">
        <v>2137674</v>
      </c>
      <c r="P60" t="s">
        <v>30</v>
      </c>
      <c r="Q60">
        <v>41.9</v>
      </c>
      <c r="R60" s="6">
        <v>43882.904652777775</v>
      </c>
    </row>
    <row r="61" spans="9:19" x14ac:dyDescent="0.25">
      <c r="I61" t="s">
        <v>29</v>
      </c>
      <c r="J61">
        <v>3786752</v>
      </c>
      <c r="K61" s="4" t="s">
        <v>27</v>
      </c>
      <c r="L61">
        <v>32941</v>
      </c>
      <c r="M61" t="s">
        <v>11</v>
      </c>
      <c r="N61">
        <v>10550</v>
      </c>
      <c r="O61">
        <v>2137674</v>
      </c>
      <c r="P61" t="s">
        <v>30</v>
      </c>
      <c r="Q61">
        <v>37.799999999999997</v>
      </c>
      <c r="R61" s="6">
        <v>43882.904652777775</v>
      </c>
    </row>
    <row r="62" spans="9:19" x14ac:dyDescent="0.25">
      <c r="I62" s="7" t="s">
        <v>29</v>
      </c>
      <c r="J62" s="7">
        <v>3786752</v>
      </c>
      <c r="K62" s="10" t="s">
        <v>27</v>
      </c>
      <c r="L62" s="7">
        <v>32941</v>
      </c>
      <c r="M62" s="7" t="s">
        <v>11</v>
      </c>
      <c r="N62" s="7">
        <v>10550</v>
      </c>
      <c r="O62" s="7">
        <v>2137674</v>
      </c>
      <c r="P62" s="7" t="s">
        <v>30</v>
      </c>
      <c r="Q62" s="7">
        <v>38.299999999999997</v>
      </c>
      <c r="R62" s="11">
        <v>43882.904664351852</v>
      </c>
      <c r="S62" s="7">
        <f>SUM(Q60:Q62)</f>
        <v>117.99999999999999</v>
      </c>
    </row>
    <row r="63" spans="9:19" x14ac:dyDescent="0.25">
      <c r="I63" t="s">
        <v>29</v>
      </c>
      <c r="J63">
        <v>3786784</v>
      </c>
      <c r="K63" s="4" t="s">
        <v>27</v>
      </c>
      <c r="L63">
        <v>32941</v>
      </c>
      <c r="M63" t="s">
        <v>11</v>
      </c>
      <c r="N63">
        <v>10587</v>
      </c>
      <c r="O63">
        <v>2137674</v>
      </c>
      <c r="P63" t="s">
        <v>30</v>
      </c>
      <c r="Q63">
        <v>40.299999999999997</v>
      </c>
      <c r="R63" s="6">
        <v>43882.947928240741</v>
      </c>
    </row>
    <row r="64" spans="9:19" x14ac:dyDescent="0.25">
      <c r="I64" t="s">
        <v>29</v>
      </c>
      <c r="J64">
        <v>3786784</v>
      </c>
      <c r="K64" s="4" t="s">
        <v>27</v>
      </c>
      <c r="L64">
        <v>32941</v>
      </c>
      <c r="M64" t="s">
        <v>11</v>
      </c>
      <c r="N64">
        <v>10587</v>
      </c>
      <c r="O64">
        <v>2137674</v>
      </c>
      <c r="P64" t="s">
        <v>30</v>
      </c>
      <c r="Q64">
        <v>42.8</v>
      </c>
      <c r="R64" s="6">
        <v>43882.947928240741</v>
      </c>
    </row>
    <row r="65" spans="9:19" x14ac:dyDescent="0.25">
      <c r="I65" t="s">
        <v>29</v>
      </c>
      <c r="J65">
        <v>3786784</v>
      </c>
      <c r="K65" s="4" t="s">
        <v>27</v>
      </c>
      <c r="L65">
        <v>32941</v>
      </c>
      <c r="M65" t="s">
        <v>11</v>
      </c>
      <c r="N65">
        <v>10587</v>
      </c>
      <c r="O65">
        <v>2137674</v>
      </c>
      <c r="P65" t="s">
        <v>30</v>
      </c>
      <c r="Q65">
        <v>43.5</v>
      </c>
      <c r="R65" s="6">
        <v>43882.947928240741</v>
      </c>
    </row>
    <row r="66" spans="9:19" x14ac:dyDescent="0.25">
      <c r="I66" t="s">
        <v>29</v>
      </c>
      <c r="J66">
        <v>3786784</v>
      </c>
      <c r="K66" s="4" t="s">
        <v>27</v>
      </c>
      <c r="L66">
        <v>32941</v>
      </c>
      <c r="M66" t="s">
        <v>11</v>
      </c>
      <c r="N66">
        <v>10587</v>
      </c>
      <c r="O66">
        <v>2137674</v>
      </c>
      <c r="P66" t="s">
        <v>30</v>
      </c>
      <c r="Q66">
        <v>40.5</v>
      </c>
      <c r="R66" s="6">
        <v>43882.947939814818</v>
      </c>
    </row>
    <row r="67" spans="9:19" x14ac:dyDescent="0.25">
      <c r="I67" t="s">
        <v>29</v>
      </c>
      <c r="J67">
        <v>3786784</v>
      </c>
      <c r="K67" s="4" t="s">
        <v>27</v>
      </c>
      <c r="L67">
        <v>32941</v>
      </c>
      <c r="M67" t="s">
        <v>11</v>
      </c>
      <c r="N67">
        <v>10587</v>
      </c>
      <c r="O67">
        <v>2137674</v>
      </c>
      <c r="P67" t="s">
        <v>30</v>
      </c>
      <c r="Q67">
        <v>41.8</v>
      </c>
      <c r="R67" s="6">
        <v>43882.947939814818</v>
      </c>
    </row>
    <row r="68" spans="9:19" x14ac:dyDescent="0.25">
      <c r="I68" s="7" t="s">
        <v>29</v>
      </c>
      <c r="J68" s="7">
        <v>3786784</v>
      </c>
      <c r="K68" s="7" t="s">
        <v>27</v>
      </c>
      <c r="L68" s="7">
        <v>32941</v>
      </c>
      <c r="M68" s="7" t="s">
        <v>11</v>
      </c>
      <c r="N68" s="7">
        <v>10587</v>
      </c>
      <c r="O68" s="7">
        <v>2137674</v>
      </c>
      <c r="P68" s="7" t="s">
        <v>30</v>
      </c>
      <c r="Q68" s="7">
        <v>38.700000000000003</v>
      </c>
      <c r="R68" s="11">
        <v>43882.947951388887</v>
      </c>
      <c r="S68" s="7">
        <f>SUM(Q63:Q68)</f>
        <v>247.59999999999997</v>
      </c>
    </row>
    <row r="69" spans="9:19" x14ac:dyDescent="0.25">
      <c r="I69" s="7" t="s">
        <v>29</v>
      </c>
      <c r="J69" s="7">
        <v>3786784</v>
      </c>
      <c r="K69" s="10" t="s">
        <v>27</v>
      </c>
      <c r="L69" s="7">
        <v>32941</v>
      </c>
      <c r="M69" s="7" t="s">
        <v>11</v>
      </c>
      <c r="N69" s="7">
        <v>10587</v>
      </c>
      <c r="O69" s="7">
        <v>2137674</v>
      </c>
      <c r="P69" s="7" t="s">
        <v>30</v>
      </c>
      <c r="Q69" s="7">
        <v>38.4</v>
      </c>
      <c r="R69" s="11">
        <v>43882.979722222219</v>
      </c>
      <c r="S69" s="7">
        <v>38.4</v>
      </c>
    </row>
    <row r="70" spans="9:19" x14ac:dyDescent="0.25">
      <c r="K70" s="4"/>
      <c r="R70" s="6"/>
    </row>
    <row r="71" spans="9:19" x14ac:dyDescent="0.25">
      <c r="K71" s="4"/>
      <c r="R71" s="6"/>
    </row>
    <row r="72" spans="9:19" x14ac:dyDescent="0.25">
      <c r="K72" s="4"/>
      <c r="R72" s="6"/>
    </row>
    <row r="73" spans="9:19" x14ac:dyDescent="0.25">
      <c r="K73" s="4"/>
      <c r="R73" s="6"/>
    </row>
    <row r="74" spans="9:19" x14ac:dyDescent="0.25">
      <c r="K74" s="4"/>
      <c r="R74" s="6"/>
    </row>
    <row r="75" spans="9:19" x14ac:dyDescent="0.25">
      <c r="K75" s="4"/>
      <c r="R75" s="6"/>
    </row>
    <row r="76" spans="9:19" x14ac:dyDescent="0.25">
      <c r="K76" s="4"/>
      <c r="R76" s="6"/>
    </row>
    <row r="77" spans="9:19" x14ac:dyDescent="0.25">
      <c r="K77" s="4"/>
    </row>
    <row r="78" spans="9:19" x14ac:dyDescent="0.25">
      <c r="K78" s="4"/>
    </row>
    <row r="79" spans="9:19" x14ac:dyDescent="0.25">
      <c r="K79" s="4"/>
    </row>
    <row r="80" spans="9:19" x14ac:dyDescent="0.25">
      <c r="K80" s="4"/>
    </row>
    <row r="81" spans="11:11" x14ac:dyDescent="0.25">
      <c r="K81" s="4"/>
    </row>
    <row r="82" spans="11:11" x14ac:dyDescent="0.25">
      <c r="K82" s="4"/>
    </row>
    <row r="83" spans="11:11" x14ac:dyDescent="0.25">
      <c r="K83" s="4"/>
    </row>
    <row r="84" spans="11:11" x14ac:dyDescent="0.25">
      <c r="K84" s="4"/>
    </row>
    <row r="85" spans="11:11" x14ac:dyDescent="0.25">
      <c r="K85" s="4"/>
    </row>
    <row r="86" spans="11:11" x14ac:dyDescent="0.25">
      <c r="K86" s="4"/>
    </row>
    <row r="87" spans="11:11" x14ac:dyDescent="0.25">
      <c r="K87" s="4"/>
    </row>
    <row r="88" spans="11:11" x14ac:dyDescent="0.25">
      <c r="K88" s="4"/>
    </row>
    <row r="89" spans="11:11" x14ac:dyDescent="0.25">
      <c r="K89" s="4"/>
    </row>
    <row r="90" spans="11:11" x14ac:dyDescent="0.25">
      <c r="K90" s="4"/>
    </row>
    <row r="91" spans="11:11" x14ac:dyDescent="0.25">
      <c r="K91" s="4"/>
    </row>
    <row r="92" spans="11:11" x14ac:dyDescent="0.25">
      <c r="K92" s="4"/>
    </row>
    <row r="93" spans="11:11" x14ac:dyDescent="0.25">
      <c r="K93" s="4"/>
    </row>
    <row r="94" spans="11:11" x14ac:dyDescent="0.25">
      <c r="K94" s="4"/>
    </row>
    <row r="95" spans="11:11" x14ac:dyDescent="0.25">
      <c r="K95" s="4"/>
    </row>
    <row r="96" spans="11:11" x14ac:dyDescent="0.25">
      <c r="K96" s="4"/>
    </row>
    <row r="97" spans="9:12" x14ac:dyDescent="0.25">
      <c r="K97" s="4"/>
    </row>
    <row r="98" spans="9:12" x14ac:dyDescent="0.25">
      <c r="K98" s="4"/>
    </row>
    <row r="99" spans="9:12" x14ac:dyDescent="0.25">
      <c r="K99" s="4"/>
    </row>
    <row r="100" spans="9:12" x14ac:dyDescent="0.25">
      <c r="K100" s="4"/>
    </row>
    <row r="101" spans="9:12" x14ac:dyDescent="0.25">
      <c r="K101" s="4"/>
    </row>
    <row r="102" spans="9:12" x14ac:dyDescent="0.25">
      <c r="I102" s="3"/>
      <c r="J102" s="3"/>
      <c r="K102" s="5"/>
      <c r="L102" s="3"/>
    </row>
    <row r="103" spans="9:12" x14ac:dyDescent="0.25">
      <c r="K103" s="4"/>
    </row>
    <row r="104" spans="9:12" x14ac:dyDescent="0.25">
      <c r="K104" s="4"/>
    </row>
    <row r="105" spans="9:12" x14ac:dyDescent="0.25">
      <c r="K105" s="4"/>
    </row>
    <row r="106" spans="9:12" x14ac:dyDescent="0.25">
      <c r="K106" s="4"/>
    </row>
    <row r="107" spans="9:12" x14ac:dyDescent="0.25">
      <c r="K107" s="4"/>
    </row>
    <row r="108" spans="9:12" x14ac:dyDescent="0.25">
      <c r="K108" s="4"/>
    </row>
    <row r="109" spans="9:12" x14ac:dyDescent="0.25">
      <c r="K109" s="4"/>
    </row>
    <row r="110" spans="9:12" x14ac:dyDescent="0.25">
      <c r="K110" s="4"/>
    </row>
    <row r="111" spans="9:12" x14ac:dyDescent="0.25">
      <c r="K111" s="4"/>
    </row>
    <row r="112" spans="9:12" x14ac:dyDescent="0.25">
      <c r="K112" s="4"/>
    </row>
    <row r="113" spans="11:11" x14ac:dyDescent="0.25">
      <c r="K113" s="4"/>
    </row>
    <row r="114" spans="11:11" x14ac:dyDescent="0.25">
      <c r="K114" s="4"/>
    </row>
    <row r="115" spans="11:11" x14ac:dyDescent="0.25">
      <c r="K115" s="4"/>
    </row>
    <row r="116" spans="11:11" x14ac:dyDescent="0.25">
      <c r="K116" s="4"/>
    </row>
    <row r="117" spans="11:11" x14ac:dyDescent="0.25">
      <c r="K117" s="4"/>
    </row>
    <row r="118" spans="11:11" x14ac:dyDescent="0.25">
      <c r="K118" s="4"/>
    </row>
    <row r="119" spans="11:11" x14ac:dyDescent="0.25">
      <c r="K119" s="4"/>
    </row>
    <row r="120" spans="11:11" x14ac:dyDescent="0.25">
      <c r="K120" s="4"/>
    </row>
    <row r="121" spans="11:11" x14ac:dyDescent="0.25">
      <c r="K121" s="4"/>
    </row>
    <row r="122" spans="11:11" x14ac:dyDescent="0.25">
      <c r="K122" s="4"/>
    </row>
    <row r="123" spans="11:11" x14ac:dyDescent="0.25">
      <c r="K123" s="4"/>
    </row>
    <row r="124" spans="11:11" x14ac:dyDescent="0.25">
      <c r="K124" s="4"/>
    </row>
    <row r="125" spans="11:11" x14ac:dyDescent="0.25">
      <c r="K125" s="4"/>
    </row>
    <row r="126" spans="11:11" x14ac:dyDescent="0.25">
      <c r="K126" s="4"/>
    </row>
    <row r="127" spans="11:11" x14ac:dyDescent="0.25">
      <c r="K127" s="4"/>
    </row>
    <row r="128" spans="11:11" x14ac:dyDescent="0.25">
      <c r="K128" s="4"/>
    </row>
    <row r="129" spans="11:11" x14ac:dyDescent="0.25">
      <c r="K129" s="4"/>
    </row>
    <row r="130" spans="11:11" x14ac:dyDescent="0.25">
      <c r="K130" s="4"/>
    </row>
    <row r="131" spans="11:11" x14ac:dyDescent="0.25">
      <c r="K131" s="4"/>
    </row>
    <row r="132" spans="11:11" x14ac:dyDescent="0.25">
      <c r="K132" s="4"/>
    </row>
    <row r="133" spans="11:11" x14ac:dyDescent="0.25">
      <c r="K133" s="4"/>
    </row>
    <row r="134" spans="11:11" x14ac:dyDescent="0.25">
      <c r="K134" s="4"/>
    </row>
    <row r="135" spans="11:11" x14ac:dyDescent="0.25">
      <c r="K135" s="4"/>
    </row>
    <row r="136" spans="11:11" x14ac:dyDescent="0.25">
      <c r="K136" s="4"/>
    </row>
    <row r="137" spans="11:11" x14ac:dyDescent="0.25">
      <c r="K137" s="4"/>
    </row>
    <row r="138" spans="11:11" x14ac:dyDescent="0.25">
      <c r="K138" s="4"/>
    </row>
    <row r="139" spans="11:11" x14ac:dyDescent="0.25">
      <c r="K139" s="4"/>
    </row>
    <row r="140" spans="11:11" x14ac:dyDescent="0.25">
      <c r="K140" s="4"/>
    </row>
    <row r="141" spans="11:11" x14ac:dyDescent="0.25">
      <c r="K141" s="4"/>
    </row>
    <row r="142" spans="11:11" x14ac:dyDescent="0.25">
      <c r="K142" s="4"/>
    </row>
    <row r="143" spans="11:11" x14ac:dyDescent="0.25">
      <c r="K143" s="4"/>
    </row>
  </sheetData>
  <sortState ref="A4:I201">
    <sortCondition ref="F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3"/>
  <sheetViews>
    <sheetView workbookViewId="0">
      <selection activeCell="D18" sqref="D18"/>
    </sheetView>
  </sheetViews>
  <sheetFormatPr defaultRowHeight="15" x14ac:dyDescent="0.25"/>
  <cols>
    <col min="5" max="5" width="11.42578125" bestFit="1" customWidth="1"/>
    <col min="17" max="17" width="14.85546875" bestFit="1" customWidth="1"/>
  </cols>
  <sheetData>
    <row r="2" spans="1:19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37</v>
      </c>
      <c r="R2" t="s">
        <v>38</v>
      </c>
    </row>
    <row r="3" spans="1:19" x14ac:dyDescent="0.25">
      <c r="A3" s="7">
        <v>20200224</v>
      </c>
      <c r="B3" s="7">
        <v>105637</v>
      </c>
      <c r="C3" s="7">
        <v>4371290</v>
      </c>
      <c r="D3" s="7" t="s">
        <v>0</v>
      </c>
      <c r="E3" s="7">
        <v>32911</v>
      </c>
      <c r="F3" s="7" t="s">
        <v>21</v>
      </c>
      <c r="G3" s="7">
        <v>78.8</v>
      </c>
      <c r="I3" t="s">
        <v>29</v>
      </c>
      <c r="J3">
        <v>3786670</v>
      </c>
      <c r="K3" t="s">
        <v>27</v>
      </c>
      <c r="L3">
        <v>32931</v>
      </c>
      <c r="M3" t="s">
        <v>21</v>
      </c>
      <c r="N3">
        <v>10503</v>
      </c>
      <c r="O3">
        <v>2137674</v>
      </c>
      <c r="P3">
        <v>34.9</v>
      </c>
      <c r="Q3" s="6">
        <v>43881.978750000002</v>
      </c>
      <c r="R3">
        <v>90</v>
      </c>
    </row>
    <row r="4" spans="1:19" x14ac:dyDescent="0.25">
      <c r="A4" s="7">
        <v>20200220</v>
      </c>
      <c r="B4" s="7">
        <v>234250</v>
      </c>
      <c r="C4" s="7">
        <v>4368244</v>
      </c>
      <c r="D4" s="7" t="s">
        <v>0</v>
      </c>
      <c r="E4" s="7">
        <v>32931</v>
      </c>
      <c r="F4" s="7" t="s">
        <v>21</v>
      </c>
      <c r="G4" s="7">
        <v>33.9</v>
      </c>
      <c r="I4" s="7" t="s">
        <v>29</v>
      </c>
      <c r="J4" s="7">
        <v>3786670</v>
      </c>
      <c r="K4" s="7" t="s">
        <v>27</v>
      </c>
      <c r="L4" s="7">
        <v>32931</v>
      </c>
      <c r="M4" s="7" t="s">
        <v>21</v>
      </c>
      <c r="N4" s="7">
        <v>10503</v>
      </c>
      <c r="O4" s="7">
        <v>2137674</v>
      </c>
      <c r="P4" s="7">
        <v>33.799999999999997</v>
      </c>
      <c r="Q4" s="11">
        <v>43881.978750000002</v>
      </c>
      <c r="R4" s="7">
        <v>90</v>
      </c>
      <c r="S4" s="7">
        <f>SUM(P3:P4)</f>
        <v>68.699999999999989</v>
      </c>
    </row>
    <row r="5" spans="1:19" x14ac:dyDescent="0.25">
      <c r="A5" s="7">
        <v>20200220</v>
      </c>
      <c r="B5" s="7">
        <v>232925</v>
      </c>
      <c r="C5" s="7">
        <v>4368232</v>
      </c>
      <c r="D5" s="7" t="s">
        <v>0</v>
      </c>
      <c r="E5" s="7">
        <v>32931</v>
      </c>
      <c r="F5" s="7" t="s">
        <v>21</v>
      </c>
      <c r="G5" s="7">
        <v>68.7</v>
      </c>
      <c r="I5" t="s">
        <v>29</v>
      </c>
      <c r="J5">
        <v>3786670</v>
      </c>
      <c r="K5" t="s">
        <v>27</v>
      </c>
      <c r="L5">
        <v>32931</v>
      </c>
      <c r="M5" t="s">
        <v>21</v>
      </c>
      <c r="N5">
        <v>10503</v>
      </c>
      <c r="O5">
        <v>2137674</v>
      </c>
      <c r="P5">
        <v>33.4</v>
      </c>
      <c r="Q5" s="6">
        <v>43881.986631944441</v>
      </c>
      <c r="R5">
        <v>90</v>
      </c>
    </row>
    <row r="6" spans="1:19" x14ac:dyDescent="0.25">
      <c r="A6" s="7">
        <v>20200224</v>
      </c>
      <c r="B6" s="7">
        <v>105459</v>
      </c>
      <c r="C6" s="7">
        <v>4371288</v>
      </c>
      <c r="D6" s="7" t="s">
        <v>0</v>
      </c>
      <c r="E6" s="7">
        <v>32911</v>
      </c>
      <c r="F6" s="7" t="s">
        <v>21</v>
      </c>
      <c r="G6" s="7">
        <v>164.8</v>
      </c>
      <c r="I6" s="7" t="s">
        <v>29</v>
      </c>
      <c r="J6" s="7">
        <v>3786670</v>
      </c>
      <c r="K6" s="7" t="s">
        <v>27</v>
      </c>
      <c r="L6" s="7">
        <v>32931</v>
      </c>
      <c r="M6" s="7" t="s">
        <v>21</v>
      </c>
      <c r="N6" s="7">
        <v>10503</v>
      </c>
      <c r="O6" s="7">
        <v>2137674</v>
      </c>
      <c r="P6" s="7">
        <v>33.799999999999997</v>
      </c>
      <c r="Q6" s="11">
        <v>43881.986643518518</v>
      </c>
      <c r="R6" s="7">
        <v>90</v>
      </c>
      <c r="S6" s="7">
        <f>SUM(P5:P6)</f>
        <v>67.199999999999989</v>
      </c>
    </row>
    <row r="7" spans="1:19" x14ac:dyDescent="0.25">
      <c r="A7" s="7">
        <v>20200221</v>
      </c>
      <c r="B7" s="7">
        <v>230122</v>
      </c>
      <c r="C7" s="7">
        <v>4370288</v>
      </c>
      <c r="D7" s="7" t="s">
        <v>0</v>
      </c>
      <c r="E7" s="7">
        <v>32931</v>
      </c>
      <c r="F7" s="7" t="s">
        <v>21</v>
      </c>
      <c r="G7" s="7">
        <v>33.9</v>
      </c>
      <c r="I7" s="7" t="s">
        <v>29</v>
      </c>
      <c r="J7" s="7">
        <v>3786670</v>
      </c>
      <c r="K7" s="7" t="s">
        <v>27</v>
      </c>
      <c r="L7" s="7">
        <v>32931</v>
      </c>
      <c r="M7" s="7" t="s">
        <v>21</v>
      </c>
      <c r="N7" s="7">
        <v>10503</v>
      </c>
      <c r="O7" s="7">
        <v>2137674</v>
      </c>
      <c r="P7" s="7">
        <v>33.9</v>
      </c>
      <c r="Q7" s="11">
        <v>43881.988067129627</v>
      </c>
      <c r="R7" s="7">
        <v>90</v>
      </c>
      <c r="S7" s="7">
        <v>33.9</v>
      </c>
    </row>
    <row r="8" spans="1:19" x14ac:dyDescent="0.25">
      <c r="A8" s="7">
        <v>20200220</v>
      </c>
      <c r="B8" s="7">
        <v>234046</v>
      </c>
      <c r="C8" s="7">
        <v>4368242</v>
      </c>
      <c r="D8" s="7" t="s">
        <v>0</v>
      </c>
      <c r="E8" s="7">
        <v>32931</v>
      </c>
      <c r="F8" s="7" t="s">
        <v>21</v>
      </c>
      <c r="G8" s="7">
        <v>67.2</v>
      </c>
      <c r="I8" t="s">
        <v>29</v>
      </c>
      <c r="J8">
        <v>3786711</v>
      </c>
      <c r="K8" t="s">
        <v>27</v>
      </c>
      <c r="L8">
        <v>32941</v>
      </c>
      <c r="M8" t="s">
        <v>21</v>
      </c>
      <c r="N8">
        <v>10508</v>
      </c>
      <c r="O8">
        <v>2137674</v>
      </c>
      <c r="P8">
        <v>43.7</v>
      </c>
      <c r="Q8" s="6">
        <v>43882.457384259258</v>
      </c>
      <c r="R8">
        <v>66</v>
      </c>
    </row>
    <row r="9" spans="1:19" x14ac:dyDescent="0.25">
      <c r="A9" s="7">
        <v>20200224</v>
      </c>
      <c r="B9" s="7">
        <v>105047</v>
      </c>
      <c r="C9" s="7">
        <v>4371270</v>
      </c>
      <c r="D9" s="7" t="s">
        <v>0</v>
      </c>
      <c r="E9" s="7">
        <v>32911</v>
      </c>
      <c r="F9" s="7" t="s">
        <v>21</v>
      </c>
      <c r="G9" s="7">
        <v>38.9</v>
      </c>
      <c r="I9" s="7" t="s">
        <v>29</v>
      </c>
      <c r="J9" s="7">
        <v>3786711</v>
      </c>
      <c r="K9" s="7" t="s">
        <v>27</v>
      </c>
      <c r="L9" s="7">
        <v>32941</v>
      </c>
      <c r="M9" s="7" t="s">
        <v>21</v>
      </c>
      <c r="N9" s="7">
        <v>10508</v>
      </c>
      <c r="O9" s="7">
        <v>2137674</v>
      </c>
      <c r="P9" s="7">
        <v>42.3</v>
      </c>
      <c r="Q9" s="11">
        <v>43882.457395833335</v>
      </c>
      <c r="R9" s="7">
        <v>66</v>
      </c>
      <c r="S9" s="7">
        <f>SUM(P8:P9)</f>
        <v>86</v>
      </c>
    </row>
    <row r="10" spans="1:19" x14ac:dyDescent="0.25">
      <c r="A10" s="7">
        <v>20200221</v>
      </c>
      <c r="B10" s="7">
        <v>181250</v>
      </c>
      <c r="C10" s="7">
        <v>4370029</v>
      </c>
      <c r="D10" s="7" t="s">
        <v>0</v>
      </c>
      <c r="E10" s="7">
        <v>32941</v>
      </c>
      <c r="F10" s="7" t="s">
        <v>21</v>
      </c>
      <c r="G10" s="7">
        <v>167.8</v>
      </c>
      <c r="I10" t="s">
        <v>29</v>
      </c>
      <c r="J10">
        <v>3786711</v>
      </c>
      <c r="K10" t="s">
        <v>27</v>
      </c>
      <c r="L10">
        <v>32941</v>
      </c>
      <c r="M10" t="s">
        <v>21</v>
      </c>
      <c r="N10">
        <v>10508</v>
      </c>
      <c r="O10">
        <v>2137674</v>
      </c>
      <c r="P10">
        <v>45.2</v>
      </c>
      <c r="Q10" s="6">
        <v>43882.758888888886</v>
      </c>
      <c r="R10">
        <v>58</v>
      </c>
    </row>
    <row r="11" spans="1:19" x14ac:dyDescent="0.25">
      <c r="A11" s="7">
        <v>20200221</v>
      </c>
      <c r="B11" s="7">
        <v>200449</v>
      </c>
      <c r="C11" s="7">
        <v>4370102</v>
      </c>
      <c r="D11" s="7" t="s">
        <v>0</v>
      </c>
      <c r="E11" s="7">
        <v>32941</v>
      </c>
      <c r="F11" s="7" t="s">
        <v>21</v>
      </c>
      <c r="G11" s="7">
        <v>43</v>
      </c>
      <c r="I11" t="s">
        <v>29</v>
      </c>
      <c r="J11">
        <v>3786711</v>
      </c>
      <c r="K11" t="s">
        <v>27</v>
      </c>
      <c r="L11">
        <v>32941</v>
      </c>
      <c r="M11" t="s">
        <v>21</v>
      </c>
      <c r="N11">
        <v>10508</v>
      </c>
      <c r="O11">
        <v>2137674</v>
      </c>
      <c r="P11">
        <v>42</v>
      </c>
      <c r="Q11" s="6">
        <v>43882.758888888886</v>
      </c>
      <c r="R11">
        <v>58</v>
      </c>
    </row>
    <row r="12" spans="1:19" x14ac:dyDescent="0.25">
      <c r="A12" s="7">
        <v>20200221</v>
      </c>
      <c r="B12" s="7">
        <v>181250</v>
      </c>
      <c r="C12" s="7">
        <v>4370029</v>
      </c>
      <c r="D12" s="7" t="s">
        <v>0</v>
      </c>
      <c r="E12" s="7">
        <v>32931</v>
      </c>
      <c r="F12" s="7" t="s">
        <v>21</v>
      </c>
      <c r="G12" s="7">
        <v>32.1</v>
      </c>
      <c r="I12" t="s">
        <v>29</v>
      </c>
      <c r="J12">
        <v>3786711</v>
      </c>
      <c r="K12" t="s">
        <v>27</v>
      </c>
      <c r="L12">
        <v>32941</v>
      </c>
      <c r="M12" t="s">
        <v>21</v>
      </c>
      <c r="N12">
        <v>10508</v>
      </c>
      <c r="O12">
        <v>2137674</v>
      </c>
      <c r="P12">
        <v>39.1</v>
      </c>
      <c r="Q12" s="6">
        <v>43882.758888888886</v>
      </c>
      <c r="R12">
        <v>58</v>
      </c>
    </row>
    <row r="13" spans="1:19" x14ac:dyDescent="0.25">
      <c r="A13" s="7">
        <v>20200221</v>
      </c>
      <c r="B13" s="7">
        <v>105839</v>
      </c>
      <c r="C13" s="7">
        <v>4369540</v>
      </c>
      <c r="D13" s="7" t="s">
        <v>0</v>
      </c>
      <c r="E13" s="7">
        <v>32941</v>
      </c>
      <c r="F13" s="7" t="s">
        <v>21</v>
      </c>
      <c r="G13" s="7">
        <v>86</v>
      </c>
      <c r="I13" s="7" t="s">
        <v>29</v>
      </c>
      <c r="J13" s="7">
        <v>3786711</v>
      </c>
      <c r="K13" s="7" t="s">
        <v>27</v>
      </c>
      <c r="L13" s="7">
        <v>32941</v>
      </c>
      <c r="M13" s="7" t="s">
        <v>21</v>
      </c>
      <c r="N13" s="7">
        <v>10508</v>
      </c>
      <c r="O13" s="7">
        <v>2137674</v>
      </c>
      <c r="P13" s="7">
        <v>41.5</v>
      </c>
      <c r="Q13" s="11">
        <v>43882.758888888886</v>
      </c>
      <c r="R13" s="7">
        <v>58</v>
      </c>
      <c r="S13" s="7">
        <f>SUM(P10:P13)</f>
        <v>167.8</v>
      </c>
    </row>
    <row r="14" spans="1:19" x14ac:dyDescent="0.25">
      <c r="I14" s="7" t="s">
        <v>29</v>
      </c>
      <c r="J14" s="7">
        <v>3786711</v>
      </c>
      <c r="K14" s="7" t="s">
        <v>27</v>
      </c>
      <c r="L14" s="7">
        <v>32931</v>
      </c>
      <c r="M14" s="7" t="s">
        <v>21</v>
      </c>
      <c r="N14" s="7">
        <v>10508</v>
      </c>
      <c r="O14" s="7">
        <v>2137674</v>
      </c>
      <c r="P14" s="7">
        <v>32.1</v>
      </c>
      <c r="Q14" s="11">
        <v>43882.758900462963</v>
      </c>
      <c r="R14" s="7">
        <v>58</v>
      </c>
      <c r="S14" s="7">
        <v>32.1</v>
      </c>
    </row>
    <row r="15" spans="1:19" x14ac:dyDescent="0.25">
      <c r="I15" s="7" t="s">
        <v>29</v>
      </c>
      <c r="J15" s="7">
        <v>3786711</v>
      </c>
      <c r="K15" s="7" t="s">
        <v>27</v>
      </c>
      <c r="L15" s="7">
        <v>32941</v>
      </c>
      <c r="M15" s="7" t="s">
        <v>21</v>
      </c>
      <c r="N15" s="7">
        <v>10508</v>
      </c>
      <c r="O15" s="7">
        <v>2137674</v>
      </c>
      <c r="P15" s="7">
        <v>43</v>
      </c>
      <c r="Q15" s="11">
        <v>43882.836655092593</v>
      </c>
      <c r="R15" s="7">
        <v>90</v>
      </c>
      <c r="S15" s="7">
        <v>43</v>
      </c>
    </row>
    <row r="16" spans="1:19" x14ac:dyDescent="0.25">
      <c r="I16" s="7" t="s">
        <v>29</v>
      </c>
      <c r="J16" s="7">
        <v>3786711</v>
      </c>
      <c r="K16" s="7" t="s">
        <v>27</v>
      </c>
      <c r="L16" s="7">
        <v>32931</v>
      </c>
      <c r="M16" s="7" t="s">
        <v>21</v>
      </c>
      <c r="N16" s="7">
        <v>10508</v>
      </c>
      <c r="O16" s="7">
        <v>2137674</v>
      </c>
      <c r="P16" s="7">
        <v>33.9</v>
      </c>
      <c r="Q16" s="11">
        <v>43882.959282407406</v>
      </c>
      <c r="R16" s="7">
        <v>58</v>
      </c>
      <c r="S16" s="7">
        <v>33.9</v>
      </c>
    </row>
    <row r="17" spans="9:19" x14ac:dyDescent="0.25">
      <c r="I17" s="7" t="s">
        <v>29</v>
      </c>
      <c r="J17" s="7">
        <v>3786572</v>
      </c>
      <c r="K17" s="7" t="s">
        <v>27</v>
      </c>
      <c r="L17" s="7">
        <v>32911</v>
      </c>
      <c r="M17" s="7" t="s">
        <v>21</v>
      </c>
      <c r="N17" s="7">
        <v>10430</v>
      </c>
      <c r="O17" s="7">
        <v>2137674</v>
      </c>
      <c r="P17" s="7">
        <v>38.9</v>
      </c>
      <c r="Q17" s="11">
        <v>43885.451932870368</v>
      </c>
      <c r="R17" s="7">
        <v>66</v>
      </c>
      <c r="S17" s="7">
        <v>38.9</v>
      </c>
    </row>
    <row r="18" spans="9:19" x14ac:dyDescent="0.25">
      <c r="I18" t="s">
        <v>29</v>
      </c>
      <c r="J18">
        <v>3786572</v>
      </c>
      <c r="K18" t="s">
        <v>27</v>
      </c>
      <c r="L18">
        <v>32911</v>
      </c>
      <c r="M18" t="s">
        <v>21</v>
      </c>
      <c r="N18">
        <v>10430</v>
      </c>
      <c r="O18">
        <v>2137674</v>
      </c>
      <c r="P18">
        <v>41.1</v>
      </c>
      <c r="Q18" s="6">
        <v>43885.454826388886</v>
      </c>
      <c r="R18">
        <v>66</v>
      </c>
    </row>
    <row r="19" spans="9:19" x14ac:dyDescent="0.25">
      <c r="I19" t="s">
        <v>29</v>
      </c>
      <c r="J19">
        <v>3786572</v>
      </c>
      <c r="K19" t="s">
        <v>27</v>
      </c>
      <c r="L19">
        <v>32911</v>
      </c>
      <c r="M19" t="s">
        <v>21</v>
      </c>
      <c r="N19">
        <v>10430</v>
      </c>
      <c r="O19">
        <v>2137674</v>
      </c>
      <c r="P19">
        <v>40.9</v>
      </c>
      <c r="Q19" s="6">
        <v>43885.454837962963</v>
      </c>
      <c r="R19">
        <v>66</v>
      </c>
    </row>
    <row r="20" spans="9:19" x14ac:dyDescent="0.25">
      <c r="I20" t="s">
        <v>29</v>
      </c>
      <c r="J20">
        <v>3786572</v>
      </c>
      <c r="K20" t="s">
        <v>27</v>
      </c>
      <c r="L20">
        <v>32911</v>
      </c>
      <c r="M20" t="s">
        <v>21</v>
      </c>
      <c r="N20">
        <v>10430</v>
      </c>
      <c r="O20">
        <v>2137674</v>
      </c>
      <c r="P20">
        <v>39.5</v>
      </c>
      <c r="Q20" s="6">
        <v>43885.454837962963</v>
      </c>
      <c r="R20">
        <v>66</v>
      </c>
    </row>
    <row r="21" spans="9:19" x14ac:dyDescent="0.25">
      <c r="I21" s="7" t="s">
        <v>29</v>
      </c>
      <c r="J21" s="7">
        <v>3786572</v>
      </c>
      <c r="K21" s="7" t="s">
        <v>27</v>
      </c>
      <c r="L21" s="7">
        <v>32911</v>
      </c>
      <c r="M21" s="7" t="s">
        <v>21</v>
      </c>
      <c r="N21" s="7">
        <v>10430</v>
      </c>
      <c r="O21" s="7">
        <v>2137674</v>
      </c>
      <c r="P21" s="7">
        <v>43.3</v>
      </c>
      <c r="Q21" s="11">
        <v>43885.454837962963</v>
      </c>
      <c r="R21" s="7">
        <v>66</v>
      </c>
      <c r="S21" s="7">
        <f>SUM(P18:P21)</f>
        <v>164.8</v>
      </c>
    </row>
    <row r="22" spans="9:19" x14ac:dyDescent="0.25">
      <c r="I22" t="s">
        <v>29</v>
      </c>
      <c r="J22">
        <v>3786572</v>
      </c>
      <c r="K22" t="s">
        <v>27</v>
      </c>
      <c r="L22">
        <v>32911</v>
      </c>
      <c r="M22" t="s">
        <v>21</v>
      </c>
      <c r="N22">
        <v>10430</v>
      </c>
      <c r="O22">
        <v>2137674</v>
      </c>
      <c r="P22">
        <v>39.200000000000003</v>
      </c>
      <c r="Q22" s="6">
        <v>43885.455972222226</v>
      </c>
      <c r="R22">
        <v>66</v>
      </c>
    </row>
    <row r="23" spans="9:19" x14ac:dyDescent="0.25">
      <c r="I23" s="7" t="s">
        <v>29</v>
      </c>
      <c r="J23" s="7">
        <v>3786572</v>
      </c>
      <c r="K23" s="7" t="s">
        <v>27</v>
      </c>
      <c r="L23" s="7">
        <v>32911</v>
      </c>
      <c r="M23" s="7" t="s">
        <v>21</v>
      </c>
      <c r="N23" s="7">
        <v>10430</v>
      </c>
      <c r="O23" s="7">
        <v>2137674</v>
      </c>
      <c r="P23" s="7">
        <v>39.6</v>
      </c>
      <c r="Q23" s="11">
        <v>43885.455972222226</v>
      </c>
      <c r="R23" s="7">
        <v>66</v>
      </c>
      <c r="S23" s="7">
        <f>SUM(P22:P23)</f>
        <v>78.800000000000011</v>
      </c>
    </row>
  </sheetData>
  <sortState ref="I3:U23">
    <sortCondition ref="Q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7"/>
  <sheetViews>
    <sheetView topLeftCell="A2" workbookViewId="0">
      <selection activeCell="G12" sqref="G12"/>
    </sheetView>
  </sheetViews>
  <sheetFormatPr defaultRowHeight="15" x14ac:dyDescent="0.25"/>
  <cols>
    <col min="5" max="5" width="11.42578125" bestFit="1" customWidth="1"/>
    <col min="13" max="13" width="6" customWidth="1"/>
    <col min="15" max="15" width="8.42578125" customWidth="1"/>
    <col min="18" max="18" width="14.85546875" bestFit="1" customWidth="1"/>
  </cols>
  <sheetData>
    <row r="2" spans="1:19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35</v>
      </c>
      <c r="Q2" t="s">
        <v>36</v>
      </c>
      <c r="R2" t="s">
        <v>37</v>
      </c>
    </row>
    <row r="3" spans="1:19" x14ac:dyDescent="0.25">
      <c r="A3" s="7">
        <v>20200220</v>
      </c>
      <c r="B3" s="7">
        <v>232853</v>
      </c>
      <c r="C3" s="7">
        <v>4368231</v>
      </c>
      <c r="D3" s="7" t="s">
        <v>0</v>
      </c>
      <c r="E3" s="7">
        <v>32931</v>
      </c>
      <c r="F3" s="7" t="s">
        <v>16</v>
      </c>
      <c r="G3" s="7">
        <v>67.7</v>
      </c>
      <c r="I3" t="s">
        <v>29</v>
      </c>
      <c r="J3">
        <v>3786585</v>
      </c>
      <c r="K3" t="s">
        <v>27</v>
      </c>
      <c r="L3">
        <v>32911</v>
      </c>
      <c r="M3" t="s">
        <v>16</v>
      </c>
      <c r="N3">
        <v>10434</v>
      </c>
      <c r="O3">
        <v>2137674</v>
      </c>
      <c r="P3" t="s">
        <v>30</v>
      </c>
      <c r="Q3">
        <v>42</v>
      </c>
      <c r="R3" s="6">
        <v>43881.545439814814</v>
      </c>
    </row>
    <row r="4" spans="1:19" x14ac:dyDescent="0.25">
      <c r="A4" s="7">
        <v>20200224</v>
      </c>
      <c r="B4" s="7">
        <v>94140</v>
      </c>
      <c r="C4" s="7">
        <v>4371227</v>
      </c>
      <c r="D4" s="7" t="s">
        <v>0</v>
      </c>
      <c r="E4" s="7">
        <v>32941</v>
      </c>
      <c r="F4" s="7" t="s">
        <v>16</v>
      </c>
      <c r="G4" s="7">
        <v>170.3</v>
      </c>
      <c r="I4" t="s">
        <v>29</v>
      </c>
      <c r="J4">
        <v>3786585</v>
      </c>
      <c r="K4" t="s">
        <v>27</v>
      </c>
      <c r="L4">
        <v>32911</v>
      </c>
      <c r="M4" t="s">
        <v>16</v>
      </c>
      <c r="N4">
        <v>10434</v>
      </c>
      <c r="O4">
        <v>2137674</v>
      </c>
      <c r="P4" t="s">
        <v>30</v>
      </c>
      <c r="Q4">
        <v>42.1</v>
      </c>
      <c r="R4" s="6">
        <v>43881.545439814814</v>
      </c>
    </row>
    <row r="5" spans="1:19" x14ac:dyDescent="0.25">
      <c r="A5" s="7">
        <v>20200221</v>
      </c>
      <c r="B5" s="7">
        <v>234345</v>
      </c>
      <c r="C5" s="7">
        <v>4370348</v>
      </c>
      <c r="D5" s="7" t="s">
        <v>0</v>
      </c>
      <c r="E5" s="7">
        <v>32941</v>
      </c>
      <c r="F5" s="7" t="s">
        <v>16</v>
      </c>
      <c r="G5" s="7">
        <v>120.5</v>
      </c>
      <c r="I5" s="7" t="s">
        <v>29</v>
      </c>
      <c r="J5" s="7">
        <v>3786585</v>
      </c>
      <c r="K5" s="7" t="s">
        <v>27</v>
      </c>
      <c r="L5" s="7">
        <v>32911</v>
      </c>
      <c r="M5" s="7" t="s">
        <v>16</v>
      </c>
      <c r="N5" s="7">
        <v>10434</v>
      </c>
      <c r="O5" s="7">
        <v>2137674</v>
      </c>
      <c r="P5" s="7" t="s">
        <v>30</v>
      </c>
      <c r="Q5" s="7">
        <v>41.6</v>
      </c>
      <c r="R5" s="11">
        <v>43881.545439814814</v>
      </c>
      <c r="S5" s="7">
        <f>SUM(Q3:Q5)</f>
        <v>125.69999999999999</v>
      </c>
    </row>
    <row r="6" spans="1:19" x14ac:dyDescent="0.25">
      <c r="A6" s="7">
        <v>20200221</v>
      </c>
      <c r="B6" s="7">
        <v>220132</v>
      </c>
      <c r="C6" s="7">
        <v>4370259</v>
      </c>
      <c r="D6" s="7" t="s">
        <v>0</v>
      </c>
      <c r="E6" s="7">
        <v>32911</v>
      </c>
      <c r="F6" s="7" t="s">
        <v>16</v>
      </c>
      <c r="G6" s="7">
        <v>44.7</v>
      </c>
      <c r="I6" t="s">
        <v>29</v>
      </c>
      <c r="J6">
        <v>3786667</v>
      </c>
      <c r="K6" t="s">
        <v>27</v>
      </c>
      <c r="L6">
        <v>32931</v>
      </c>
      <c r="M6" t="s">
        <v>16</v>
      </c>
      <c r="N6">
        <v>10469</v>
      </c>
      <c r="O6">
        <v>2137674</v>
      </c>
      <c r="P6" t="s">
        <v>30</v>
      </c>
      <c r="Q6">
        <v>34.9</v>
      </c>
      <c r="R6" s="6">
        <v>43881.978379629632</v>
      </c>
    </row>
    <row r="7" spans="1:19" x14ac:dyDescent="0.25">
      <c r="A7" s="7">
        <v>20200221</v>
      </c>
      <c r="B7" s="7">
        <v>144217</v>
      </c>
      <c r="C7" s="7">
        <v>4369746</v>
      </c>
      <c r="D7" s="7" t="s">
        <v>0</v>
      </c>
      <c r="E7" s="7">
        <v>32941</v>
      </c>
      <c r="F7" s="7" t="s">
        <v>16</v>
      </c>
      <c r="G7" s="7">
        <v>16.8</v>
      </c>
      <c r="I7" s="7" t="s">
        <v>29</v>
      </c>
      <c r="J7" s="7">
        <v>3786667</v>
      </c>
      <c r="K7" s="7" t="s">
        <v>27</v>
      </c>
      <c r="L7" s="7">
        <v>32931</v>
      </c>
      <c r="M7" s="7" t="s">
        <v>16</v>
      </c>
      <c r="N7" s="7">
        <v>10469</v>
      </c>
      <c r="O7" s="7">
        <v>2137674</v>
      </c>
      <c r="P7" s="7" t="s">
        <v>30</v>
      </c>
      <c r="Q7" s="7">
        <v>32.799999999999997</v>
      </c>
      <c r="R7" s="11">
        <v>43881.978379629632</v>
      </c>
      <c r="S7" s="7">
        <f>SUM(Q6:Q7)</f>
        <v>67.699999999999989</v>
      </c>
    </row>
    <row r="8" spans="1:19" x14ac:dyDescent="0.25">
      <c r="A8" s="7">
        <v>20200220</v>
      </c>
      <c r="B8" s="7">
        <v>130527</v>
      </c>
      <c r="C8" s="7">
        <v>4367398</v>
      </c>
      <c r="D8" s="7" t="s">
        <v>0</v>
      </c>
      <c r="E8" s="7">
        <v>32911</v>
      </c>
      <c r="F8" s="7" t="s">
        <v>16</v>
      </c>
      <c r="G8" s="7">
        <v>125.7</v>
      </c>
      <c r="I8" t="s">
        <v>29</v>
      </c>
      <c r="J8">
        <v>3786667</v>
      </c>
      <c r="K8" t="s">
        <v>27</v>
      </c>
      <c r="L8">
        <v>32931</v>
      </c>
      <c r="M8" t="s">
        <v>16</v>
      </c>
      <c r="N8">
        <v>10469</v>
      </c>
      <c r="O8">
        <v>2137674</v>
      </c>
      <c r="P8" t="s">
        <v>30</v>
      </c>
      <c r="Q8">
        <v>32.200000000000003</v>
      </c>
      <c r="R8" s="6">
        <v>43881.998136574075</v>
      </c>
    </row>
    <row r="9" spans="1:19" x14ac:dyDescent="0.25">
      <c r="A9" s="7">
        <v>20200221</v>
      </c>
      <c r="B9" s="7">
        <v>165514</v>
      </c>
      <c r="C9" s="7">
        <v>4369932</v>
      </c>
      <c r="D9" s="7" t="s">
        <v>0</v>
      </c>
      <c r="E9" s="7">
        <v>32941</v>
      </c>
      <c r="F9" s="7" t="s">
        <v>16</v>
      </c>
      <c r="G9" s="7">
        <v>254.7</v>
      </c>
      <c r="I9" s="7" t="s">
        <v>29</v>
      </c>
      <c r="J9" s="7">
        <v>3786667</v>
      </c>
      <c r="K9" s="7" t="s">
        <v>27</v>
      </c>
      <c r="L9" s="7">
        <v>32931</v>
      </c>
      <c r="M9" s="7" t="s">
        <v>16</v>
      </c>
      <c r="N9" s="7">
        <v>10469</v>
      </c>
      <c r="O9" s="7">
        <v>2137674</v>
      </c>
      <c r="P9" s="7" t="s">
        <v>30</v>
      </c>
      <c r="Q9" s="7">
        <v>33.6</v>
      </c>
      <c r="R9" s="11">
        <v>43881.998136574075</v>
      </c>
      <c r="S9" s="7">
        <f>SUM(Q8:Q9)</f>
        <v>65.800000000000011</v>
      </c>
    </row>
    <row r="10" spans="1:19" x14ac:dyDescent="0.25">
      <c r="A10" s="7">
        <v>20200221</v>
      </c>
      <c r="B10" s="7">
        <v>143932</v>
      </c>
      <c r="C10" s="7">
        <v>4369744</v>
      </c>
      <c r="D10" s="7" t="s">
        <v>0</v>
      </c>
      <c r="E10" s="7">
        <v>32931</v>
      </c>
      <c r="F10" s="7" t="s">
        <v>16</v>
      </c>
      <c r="G10" s="7">
        <v>33.6</v>
      </c>
      <c r="I10" s="7" t="s">
        <v>29</v>
      </c>
      <c r="J10" s="7">
        <v>3786667</v>
      </c>
      <c r="K10" s="7" t="s">
        <v>27</v>
      </c>
      <c r="L10" s="7">
        <v>32931</v>
      </c>
      <c r="M10" s="7" t="s">
        <v>16</v>
      </c>
      <c r="N10" s="7">
        <v>10469</v>
      </c>
      <c r="O10" s="7">
        <v>2137674</v>
      </c>
      <c r="P10" s="7" t="s">
        <v>30</v>
      </c>
      <c r="Q10" s="7">
        <v>33.6</v>
      </c>
      <c r="R10" s="11">
        <v>43882.61078703704</v>
      </c>
      <c r="S10" s="7">
        <v>33.6</v>
      </c>
    </row>
    <row r="11" spans="1:19" x14ac:dyDescent="0.25">
      <c r="A11" s="7">
        <v>20200224</v>
      </c>
      <c r="B11" s="7">
        <v>111129</v>
      </c>
      <c r="C11" s="7">
        <v>4371311</v>
      </c>
      <c r="D11" s="7" t="s">
        <v>0</v>
      </c>
      <c r="E11" s="7">
        <v>32941</v>
      </c>
      <c r="F11" s="7" t="s">
        <v>16</v>
      </c>
      <c r="G11" s="7">
        <v>284.8</v>
      </c>
      <c r="I11" s="7" t="s">
        <v>29</v>
      </c>
      <c r="J11" s="7">
        <v>3786712</v>
      </c>
      <c r="K11" s="7" t="s">
        <v>27</v>
      </c>
      <c r="L11" s="7">
        <v>32941</v>
      </c>
      <c r="M11" s="7" t="s">
        <v>16</v>
      </c>
      <c r="N11" s="7">
        <v>10546</v>
      </c>
      <c r="O11" s="7">
        <v>2137674</v>
      </c>
      <c r="P11" s="7" t="s">
        <v>30</v>
      </c>
      <c r="Q11" s="7">
        <v>16.8</v>
      </c>
      <c r="R11" s="11">
        <v>43882.612685185188</v>
      </c>
      <c r="S11" s="7">
        <v>16.8</v>
      </c>
    </row>
    <row r="12" spans="1:19" x14ac:dyDescent="0.25">
      <c r="A12" s="7">
        <v>20200220</v>
      </c>
      <c r="B12" s="7">
        <v>235720</v>
      </c>
      <c r="C12" s="7">
        <v>4368285</v>
      </c>
      <c r="D12" s="7" t="s">
        <v>0</v>
      </c>
      <c r="E12" s="7">
        <v>32931</v>
      </c>
      <c r="F12" s="7" t="s">
        <v>16</v>
      </c>
      <c r="G12" s="7">
        <v>65.8</v>
      </c>
      <c r="I12" t="s">
        <v>29</v>
      </c>
      <c r="J12">
        <v>3786712</v>
      </c>
      <c r="K12" t="s">
        <v>27</v>
      </c>
      <c r="L12">
        <v>32941</v>
      </c>
      <c r="M12" t="s">
        <v>16</v>
      </c>
      <c r="N12">
        <v>10546</v>
      </c>
      <c r="O12">
        <v>2137674</v>
      </c>
      <c r="P12" t="s">
        <v>30</v>
      </c>
      <c r="Q12">
        <v>41</v>
      </c>
      <c r="R12" s="6">
        <v>43882.705000000002</v>
      </c>
    </row>
    <row r="13" spans="1:19" x14ac:dyDescent="0.25">
      <c r="I13" t="s">
        <v>29</v>
      </c>
      <c r="J13">
        <v>3786712</v>
      </c>
      <c r="K13" t="s">
        <v>27</v>
      </c>
      <c r="L13">
        <v>32941</v>
      </c>
      <c r="M13" t="s">
        <v>16</v>
      </c>
      <c r="N13">
        <v>10546</v>
      </c>
      <c r="O13">
        <v>2137674</v>
      </c>
      <c r="P13" t="s">
        <v>30</v>
      </c>
      <c r="Q13">
        <v>40.200000000000003</v>
      </c>
      <c r="R13" s="6">
        <v>43882.705000000002</v>
      </c>
    </row>
    <row r="14" spans="1:19" x14ac:dyDescent="0.25">
      <c r="I14" t="s">
        <v>29</v>
      </c>
      <c r="J14">
        <v>3786712</v>
      </c>
      <c r="K14" t="s">
        <v>27</v>
      </c>
      <c r="L14">
        <v>32941</v>
      </c>
      <c r="M14" t="s">
        <v>16</v>
      </c>
      <c r="N14">
        <v>10546</v>
      </c>
      <c r="O14">
        <v>2137674</v>
      </c>
      <c r="P14" t="s">
        <v>30</v>
      </c>
      <c r="Q14">
        <v>41.9</v>
      </c>
      <c r="R14" s="6">
        <v>43882.705000000002</v>
      </c>
    </row>
    <row r="15" spans="1:19" x14ac:dyDescent="0.25">
      <c r="I15" t="s">
        <v>29</v>
      </c>
      <c r="J15">
        <v>3786712</v>
      </c>
      <c r="K15" t="s">
        <v>27</v>
      </c>
      <c r="L15">
        <v>32941</v>
      </c>
      <c r="M15" t="s">
        <v>16</v>
      </c>
      <c r="N15">
        <v>10546</v>
      </c>
      <c r="O15">
        <v>2137674</v>
      </c>
      <c r="P15" t="s">
        <v>30</v>
      </c>
      <c r="Q15">
        <v>42.3</v>
      </c>
      <c r="R15" s="6">
        <v>43882.705011574071</v>
      </c>
    </row>
    <row r="16" spans="1:19" x14ac:dyDescent="0.25">
      <c r="I16" t="s">
        <v>29</v>
      </c>
      <c r="J16">
        <v>3786712</v>
      </c>
      <c r="K16" t="s">
        <v>27</v>
      </c>
      <c r="L16">
        <v>32941</v>
      </c>
      <c r="M16" t="s">
        <v>16</v>
      </c>
      <c r="N16">
        <v>10546</v>
      </c>
      <c r="O16">
        <v>2137674</v>
      </c>
      <c r="P16" t="s">
        <v>30</v>
      </c>
      <c r="Q16">
        <v>46.1</v>
      </c>
      <c r="R16" s="6">
        <v>43882.705011574071</v>
      </c>
    </row>
    <row r="17" spans="9:19" x14ac:dyDescent="0.25">
      <c r="I17" s="7" t="s">
        <v>29</v>
      </c>
      <c r="J17" s="7">
        <v>3786712</v>
      </c>
      <c r="K17" s="7" t="s">
        <v>27</v>
      </c>
      <c r="L17" s="7">
        <v>32941</v>
      </c>
      <c r="M17" s="7" t="s">
        <v>16</v>
      </c>
      <c r="N17" s="7">
        <v>10546</v>
      </c>
      <c r="O17" s="7">
        <v>2137674</v>
      </c>
      <c r="P17" s="7" t="s">
        <v>30</v>
      </c>
      <c r="Q17" s="7">
        <v>43.2</v>
      </c>
      <c r="R17" s="11">
        <v>43882.705011574071</v>
      </c>
      <c r="S17" s="7">
        <f>SUM(Q12:Q17)</f>
        <v>254.7</v>
      </c>
    </row>
    <row r="18" spans="9:19" x14ac:dyDescent="0.25">
      <c r="I18" s="7" t="s">
        <v>29</v>
      </c>
      <c r="J18" s="7">
        <v>3786585</v>
      </c>
      <c r="K18" s="7" t="s">
        <v>27</v>
      </c>
      <c r="L18" s="7">
        <v>32911</v>
      </c>
      <c r="M18" s="7" t="s">
        <v>16</v>
      </c>
      <c r="N18" s="7">
        <v>10434</v>
      </c>
      <c r="O18" s="7">
        <v>2137674</v>
      </c>
      <c r="P18" s="7" t="s">
        <v>30</v>
      </c>
      <c r="Q18" s="7">
        <v>44.7</v>
      </c>
      <c r="R18" s="11">
        <v>43882.917731481481</v>
      </c>
      <c r="S18" s="7">
        <v>44.7</v>
      </c>
    </row>
    <row r="19" spans="9:19" x14ac:dyDescent="0.25">
      <c r="I19" t="s">
        <v>29</v>
      </c>
      <c r="J19">
        <v>3786767</v>
      </c>
      <c r="K19" t="s">
        <v>27</v>
      </c>
      <c r="L19">
        <v>32941</v>
      </c>
      <c r="M19" t="s">
        <v>16</v>
      </c>
      <c r="N19">
        <v>10552</v>
      </c>
      <c r="O19">
        <v>2137674</v>
      </c>
      <c r="P19" t="s">
        <v>30</v>
      </c>
      <c r="Q19">
        <v>41.8</v>
      </c>
      <c r="R19" s="6">
        <v>43882.988703703704</v>
      </c>
    </row>
    <row r="20" spans="9:19" x14ac:dyDescent="0.25">
      <c r="I20" t="s">
        <v>29</v>
      </c>
      <c r="J20">
        <v>3786767</v>
      </c>
      <c r="K20" t="s">
        <v>27</v>
      </c>
      <c r="L20">
        <v>32941</v>
      </c>
      <c r="M20" t="s">
        <v>16</v>
      </c>
      <c r="N20">
        <v>10552</v>
      </c>
      <c r="O20">
        <v>2137674</v>
      </c>
      <c r="P20" t="s">
        <v>30</v>
      </c>
      <c r="Q20">
        <v>38.200000000000003</v>
      </c>
      <c r="R20" s="6">
        <v>43882.988715277781</v>
      </c>
    </row>
    <row r="21" spans="9:19" x14ac:dyDescent="0.25">
      <c r="I21" s="7" t="s">
        <v>29</v>
      </c>
      <c r="J21" s="7">
        <v>3786767</v>
      </c>
      <c r="K21" s="7" t="s">
        <v>27</v>
      </c>
      <c r="L21" s="7">
        <v>32941</v>
      </c>
      <c r="M21" s="7" t="s">
        <v>16</v>
      </c>
      <c r="N21" s="7">
        <v>10552</v>
      </c>
      <c r="O21" s="7">
        <v>2137674</v>
      </c>
      <c r="P21" s="7" t="s">
        <v>30</v>
      </c>
      <c r="Q21" s="7">
        <v>40.5</v>
      </c>
      <c r="R21" s="11">
        <v>43882.988715277781</v>
      </c>
      <c r="S21" s="7">
        <f>SUM(Q19:Q21)</f>
        <v>120.5</v>
      </c>
    </row>
    <row r="22" spans="9:19" x14ac:dyDescent="0.25">
      <c r="I22" t="s">
        <v>29</v>
      </c>
      <c r="J22">
        <v>3786767</v>
      </c>
      <c r="K22" t="s">
        <v>27</v>
      </c>
      <c r="L22">
        <v>32941</v>
      </c>
      <c r="M22" t="s">
        <v>16</v>
      </c>
      <c r="N22">
        <v>10552</v>
      </c>
      <c r="O22">
        <v>2137674</v>
      </c>
      <c r="P22" t="s">
        <v>30</v>
      </c>
      <c r="Q22">
        <v>46</v>
      </c>
      <c r="R22" s="6">
        <v>43885.403923611113</v>
      </c>
    </row>
    <row r="23" spans="9:19" x14ac:dyDescent="0.25">
      <c r="I23" t="s">
        <v>29</v>
      </c>
      <c r="J23">
        <v>3786767</v>
      </c>
      <c r="K23" t="s">
        <v>27</v>
      </c>
      <c r="L23">
        <v>32941</v>
      </c>
      <c r="M23" t="s">
        <v>16</v>
      </c>
      <c r="N23">
        <v>10552</v>
      </c>
      <c r="O23">
        <v>2137674</v>
      </c>
      <c r="P23" t="s">
        <v>30</v>
      </c>
      <c r="Q23">
        <v>39.700000000000003</v>
      </c>
      <c r="R23" s="6">
        <v>43885.403923611113</v>
      </c>
    </row>
    <row r="24" spans="9:19" x14ac:dyDescent="0.25">
      <c r="I24" t="s">
        <v>29</v>
      </c>
      <c r="J24">
        <v>3786767</v>
      </c>
      <c r="K24" t="s">
        <v>27</v>
      </c>
      <c r="L24">
        <v>32941</v>
      </c>
      <c r="M24" t="s">
        <v>16</v>
      </c>
      <c r="N24">
        <v>10552</v>
      </c>
      <c r="O24">
        <v>2137674</v>
      </c>
      <c r="P24" t="s">
        <v>30</v>
      </c>
      <c r="Q24">
        <v>44.2</v>
      </c>
      <c r="R24" s="6">
        <v>43885.403923611113</v>
      </c>
    </row>
    <row r="25" spans="9:19" x14ac:dyDescent="0.25">
      <c r="I25" s="7" t="s">
        <v>29</v>
      </c>
      <c r="J25" s="7">
        <v>3786767</v>
      </c>
      <c r="K25" s="7" t="s">
        <v>27</v>
      </c>
      <c r="L25" s="7">
        <v>32941</v>
      </c>
      <c r="M25" s="7" t="s">
        <v>16</v>
      </c>
      <c r="N25" s="7">
        <v>10552</v>
      </c>
      <c r="O25" s="7">
        <v>2137674</v>
      </c>
      <c r="P25" s="7" t="s">
        <v>30</v>
      </c>
      <c r="Q25" s="7">
        <v>40.4</v>
      </c>
      <c r="R25" s="11">
        <v>43885.403923611113</v>
      </c>
      <c r="S25" s="7">
        <f>SUM(Q22:Q25)</f>
        <v>170.3</v>
      </c>
    </row>
    <row r="26" spans="9:19" x14ac:dyDescent="0.25">
      <c r="I26" t="s">
        <v>29</v>
      </c>
      <c r="J26">
        <v>3786824</v>
      </c>
      <c r="K26" t="s">
        <v>27</v>
      </c>
      <c r="L26">
        <v>32941</v>
      </c>
      <c r="M26" t="s">
        <v>16</v>
      </c>
      <c r="N26">
        <v>10589</v>
      </c>
      <c r="O26">
        <v>2137674</v>
      </c>
      <c r="P26" t="s">
        <v>30</v>
      </c>
      <c r="Q26">
        <v>44.5</v>
      </c>
      <c r="R26" s="6">
        <v>43885.466284722221</v>
      </c>
    </row>
    <row r="27" spans="9:19" x14ac:dyDescent="0.25">
      <c r="I27" t="s">
        <v>29</v>
      </c>
      <c r="J27">
        <v>3786824</v>
      </c>
      <c r="K27" t="s">
        <v>27</v>
      </c>
      <c r="L27">
        <v>32941</v>
      </c>
      <c r="M27" t="s">
        <v>16</v>
      </c>
      <c r="N27">
        <v>10589</v>
      </c>
      <c r="O27">
        <v>2137674</v>
      </c>
      <c r="P27" t="s">
        <v>30</v>
      </c>
      <c r="Q27">
        <v>38.5</v>
      </c>
      <c r="R27" s="6">
        <v>43885.466284722221</v>
      </c>
    </row>
    <row r="28" spans="9:19" x14ac:dyDescent="0.25">
      <c r="I28" t="s">
        <v>29</v>
      </c>
      <c r="J28">
        <v>3786824</v>
      </c>
      <c r="K28" t="s">
        <v>27</v>
      </c>
      <c r="L28">
        <v>32941</v>
      </c>
      <c r="M28" t="s">
        <v>16</v>
      </c>
      <c r="N28">
        <v>10589</v>
      </c>
      <c r="O28">
        <v>2137674</v>
      </c>
      <c r="P28" t="s">
        <v>30</v>
      </c>
      <c r="Q28">
        <v>40.4</v>
      </c>
      <c r="R28" s="6">
        <v>43885.466284722221</v>
      </c>
    </row>
    <row r="29" spans="9:19" x14ac:dyDescent="0.25">
      <c r="I29" t="s">
        <v>29</v>
      </c>
      <c r="J29">
        <v>3786824</v>
      </c>
      <c r="K29" t="s">
        <v>27</v>
      </c>
      <c r="L29">
        <v>32941</v>
      </c>
      <c r="M29" t="s">
        <v>16</v>
      </c>
      <c r="N29">
        <v>10589</v>
      </c>
      <c r="O29">
        <v>2137674</v>
      </c>
      <c r="P29" t="s">
        <v>30</v>
      </c>
      <c r="Q29">
        <v>41</v>
      </c>
      <c r="R29" s="6">
        <v>43885.466296296298</v>
      </c>
    </row>
    <row r="30" spans="9:19" x14ac:dyDescent="0.25">
      <c r="I30" t="s">
        <v>29</v>
      </c>
      <c r="J30">
        <v>3786824</v>
      </c>
      <c r="K30" t="s">
        <v>27</v>
      </c>
      <c r="L30">
        <v>32941</v>
      </c>
      <c r="M30" t="s">
        <v>16</v>
      </c>
      <c r="N30">
        <v>10589</v>
      </c>
      <c r="O30">
        <v>2137674</v>
      </c>
      <c r="P30" t="s">
        <v>30</v>
      </c>
      <c r="Q30">
        <v>39.700000000000003</v>
      </c>
      <c r="R30" s="6">
        <v>43885.466296296298</v>
      </c>
    </row>
    <row r="31" spans="9:19" x14ac:dyDescent="0.25">
      <c r="I31" t="s">
        <v>29</v>
      </c>
      <c r="J31">
        <v>3786824</v>
      </c>
      <c r="K31" t="s">
        <v>27</v>
      </c>
      <c r="L31">
        <v>32941</v>
      </c>
      <c r="M31" t="s">
        <v>16</v>
      </c>
      <c r="N31">
        <v>10589</v>
      </c>
      <c r="O31">
        <v>2137674</v>
      </c>
      <c r="P31" t="s">
        <v>30</v>
      </c>
      <c r="Q31">
        <v>39</v>
      </c>
      <c r="R31" s="6">
        <v>43885.466296296298</v>
      </c>
    </row>
    <row r="32" spans="9:19" x14ac:dyDescent="0.25">
      <c r="I32" s="7" t="s">
        <v>29</v>
      </c>
      <c r="J32" s="7">
        <v>3786824</v>
      </c>
      <c r="K32" s="7" t="s">
        <v>27</v>
      </c>
      <c r="L32" s="7">
        <v>32941</v>
      </c>
      <c r="M32" s="7" t="s">
        <v>16</v>
      </c>
      <c r="N32" s="7">
        <v>10589</v>
      </c>
      <c r="O32" s="7">
        <v>2137674</v>
      </c>
      <c r="P32" s="7" t="s">
        <v>30</v>
      </c>
      <c r="Q32" s="7">
        <v>41.7</v>
      </c>
      <c r="R32" s="11">
        <v>43885.466296296298</v>
      </c>
      <c r="S32" s="7">
        <f>SUM(Q26:Q32)</f>
        <v>284.8</v>
      </c>
    </row>
    <row r="33" spans="18:18" x14ac:dyDescent="0.25">
      <c r="R33" s="6"/>
    </row>
    <row r="34" spans="18:18" x14ac:dyDescent="0.25">
      <c r="R34" s="6"/>
    </row>
    <row r="35" spans="18:18" x14ac:dyDescent="0.25">
      <c r="R35" s="6"/>
    </row>
    <row r="36" spans="18:18" x14ac:dyDescent="0.25">
      <c r="R36" s="6"/>
    </row>
    <row r="37" spans="18:18" x14ac:dyDescent="0.25">
      <c r="R3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53"/>
  <sheetViews>
    <sheetView workbookViewId="0">
      <selection activeCell="H20" sqref="H20"/>
    </sheetView>
  </sheetViews>
  <sheetFormatPr defaultRowHeight="15" x14ac:dyDescent="0.25"/>
  <cols>
    <col min="5" max="5" width="11.42578125" bestFit="1" customWidth="1"/>
    <col min="9" max="9" width="16.7109375" bestFit="1" customWidth="1"/>
    <col min="13" max="13" width="5.5703125" customWidth="1"/>
    <col min="14" max="14" width="15.28515625" bestFit="1" customWidth="1"/>
    <col min="16" max="16" width="5" bestFit="1" customWidth="1"/>
    <col min="17" max="17" width="14.85546875" bestFit="1" customWidth="1"/>
  </cols>
  <sheetData>
    <row r="2" spans="1:18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37</v>
      </c>
    </row>
    <row r="3" spans="1:18" x14ac:dyDescent="0.25">
      <c r="A3" s="2">
        <v>20200222</v>
      </c>
      <c r="B3" s="2">
        <v>1739</v>
      </c>
      <c r="C3" s="2">
        <v>4370397</v>
      </c>
      <c r="D3" s="2" t="s">
        <v>0</v>
      </c>
      <c r="E3" s="2">
        <v>32941</v>
      </c>
      <c r="F3" s="2" t="s">
        <v>15</v>
      </c>
      <c r="G3" s="2">
        <v>286.10000000000002</v>
      </c>
      <c r="I3" t="s">
        <v>29</v>
      </c>
      <c r="J3">
        <v>3786611</v>
      </c>
      <c r="K3" t="s">
        <v>27</v>
      </c>
      <c r="L3">
        <v>32911</v>
      </c>
      <c r="M3" t="s">
        <v>15</v>
      </c>
      <c r="N3">
        <v>10435</v>
      </c>
      <c r="O3">
        <v>2137674</v>
      </c>
      <c r="P3">
        <v>40.799999999999997</v>
      </c>
      <c r="Q3" s="6">
        <v>43881.643182870372</v>
      </c>
    </row>
    <row r="4" spans="1:18" x14ac:dyDescent="0.25">
      <c r="A4" s="2">
        <v>20200224</v>
      </c>
      <c r="B4" s="2">
        <v>84609</v>
      </c>
      <c r="C4" s="2">
        <v>4371178</v>
      </c>
      <c r="D4" s="2" t="s">
        <v>0</v>
      </c>
      <c r="E4" s="2">
        <v>32941</v>
      </c>
      <c r="F4" s="2" t="s">
        <v>15</v>
      </c>
      <c r="G4" s="2">
        <v>247</v>
      </c>
      <c r="I4" t="s">
        <v>29</v>
      </c>
      <c r="J4">
        <v>3786611</v>
      </c>
      <c r="K4" t="s">
        <v>27</v>
      </c>
      <c r="L4">
        <v>32911</v>
      </c>
      <c r="M4" t="s">
        <v>15</v>
      </c>
      <c r="N4">
        <v>10435</v>
      </c>
      <c r="O4">
        <v>2137674</v>
      </c>
      <c r="P4">
        <v>46.1</v>
      </c>
      <c r="Q4" s="6">
        <v>43881.643182870372</v>
      </c>
    </row>
    <row r="5" spans="1:18" x14ac:dyDescent="0.25">
      <c r="A5" s="2">
        <v>20200221</v>
      </c>
      <c r="B5" s="2">
        <v>184409</v>
      </c>
      <c r="C5" s="2">
        <v>4370050</v>
      </c>
      <c r="D5" s="2" t="s">
        <v>0</v>
      </c>
      <c r="E5" s="2">
        <v>32931</v>
      </c>
      <c r="F5" s="2" t="s">
        <v>15</v>
      </c>
      <c r="G5" s="2">
        <v>111.4</v>
      </c>
      <c r="I5" t="s">
        <v>29</v>
      </c>
      <c r="J5">
        <v>3786611</v>
      </c>
      <c r="K5" t="s">
        <v>27</v>
      </c>
      <c r="L5">
        <v>32911</v>
      </c>
      <c r="M5" t="s">
        <v>15</v>
      </c>
      <c r="N5">
        <v>10435</v>
      </c>
      <c r="O5">
        <v>2137674</v>
      </c>
      <c r="P5">
        <v>39.5</v>
      </c>
      <c r="Q5" s="6">
        <v>43881.643182870372</v>
      </c>
    </row>
    <row r="6" spans="1:18" x14ac:dyDescent="0.25">
      <c r="A6" s="2">
        <v>20200220</v>
      </c>
      <c r="B6" s="2">
        <v>152613</v>
      </c>
      <c r="C6" s="2">
        <v>4367620</v>
      </c>
      <c r="D6" s="2" t="s">
        <v>0</v>
      </c>
      <c r="E6" s="2">
        <v>32911</v>
      </c>
      <c r="F6" s="2" t="s">
        <v>15</v>
      </c>
      <c r="G6" s="2">
        <v>169.8</v>
      </c>
      <c r="I6" s="2" t="s">
        <v>29</v>
      </c>
      <c r="J6" s="2">
        <v>3786611</v>
      </c>
      <c r="K6" s="2" t="s">
        <v>27</v>
      </c>
      <c r="L6" s="2">
        <v>32911</v>
      </c>
      <c r="M6" s="2" t="s">
        <v>15</v>
      </c>
      <c r="N6" s="2">
        <v>10435</v>
      </c>
      <c r="O6" s="2">
        <v>2137674</v>
      </c>
      <c r="P6" s="2">
        <v>43.4</v>
      </c>
      <c r="Q6" s="18">
        <v>43881.643194444441</v>
      </c>
      <c r="R6" s="2">
        <f>SUM(P3:P6)</f>
        <v>169.8</v>
      </c>
    </row>
    <row r="7" spans="1:18" x14ac:dyDescent="0.25">
      <c r="A7" s="2">
        <v>20200224</v>
      </c>
      <c r="B7" s="2">
        <v>102338</v>
      </c>
      <c r="C7" s="2">
        <v>4371260</v>
      </c>
      <c r="D7" s="2" t="s">
        <v>0</v>
      </c>
      <c r="E7" s="2">
        <v>32941</v>
      </c>
      <c r="F7" s="2" t="s">
        <v>15</v>
      </c>
      <c r="G7" s="2">
        <v>86.8</v>
      </c>
      <c r="I7" s="2" t="s">
        <v>29</v>
      </c>
      <c r="J7" s="2">
        <v>3786507</v>
      </c>
      <c r="K7" s="2" t="s">
        <v>27</v>
      </c>
      <c r="L7" s="2">
        <v>32891</v>
      </c>
      <c r="M7" s="2" t="s">
        <v>15</v>
      </c>
      <c r="N7" s="2">
        <v>10393</v>
      </c>
      <c r="O7" s="2">
        <v>2137674</v>
      </c>
      <c r="P7" s="2">
        <v>28.5</v>
      </c>
      <c r="Q7" s="18">
        <v>43881.84275462963</v>
      </c>
      <c r="R7" s="2">
        <v>28.5</v>
      </c>
    </row>
    <row r="8" spans="1:18" x14ac:dyDescent="0.25">
      <c r="A8" s="2">
        <v>20200221</v>
      </c>
      <c r="B8" s="2">
        <v>200153</v>
      </c>
      <c r="C8" s="2">
        <v>4370100</v>
      </c>
      <c r="D8" s="2" t="s">
        <v>0</v>
      </c>
      <c r="E8" s="2">
        <v>32891</v>
      </c>
      <c r="F8" s="2" t="s">
        <v>15</v>
      </c>
      <c r="G8" s="2">
        <v>33.799999999999997</v>
      </c>
      <c r="I8" t="s">
        <v>29</v>
      </c>
      <c r="J8">
        <v>3786677</v>
      </c>
      <c r="K8" t="s">
        <v>27</v>
      </c>
      <c r="L8">
        <v>32931</v>
      </c>
      <c r="M8" t="s">
        <v>15</v>
      </c>
      <c r="N8">
        <v>10470</v>
      </c>
      <c r="O8">
        <v>2137674</v>
      </c>
      <c r="P8">
        <v>24.6</v>
      </c>
      <c r="Q8" s="6">
        <v>43881.984965277778</v>
      </c>
    </row>
    <row r="9" spans="1:18" x14ac:dyDescent="0.25">
      <c r="A9" s="2">
        <v>20200220</v>
      </c>
      <c r="B9" s="2">
        <v>233823</v>
      </c>
      <c r="C9" s="2">
        <v>4368239</v>
      </c>
      <c r="D9" s="2" t="s">
        <v>0</v>
      </c>
      <c r="E9" s="2">
        <v>32931</v>
      </c>
      <c r="F9" s="2" t="s">
        <v>15</v>
      </c>
      <c r="G9" s="2">
        <v>123.6</v>
      </c>
      <c r="I9" t="s">
        <v>29</v>
      </c>
      <c r="J9">
        <v>3786677</v>
      </c>
      <c r="K9" t="s">
        <v>27</v>
      </c>
      <c r="L9">
        <v>32931</v>
      </c>
      <c r="M9" t="s">
        <v>15</v>
      </c>
      <c r="N9">
        <v>10470</v>
      </c>
      <c r="O9">
        <v>2137674</v>
      </c>
      <c r="P9">
        <v>33.200000000000003</v>
      </c>
      <c r="Q9" s="6">
        <v>43881.984976851854</v>
      </c>
    </row>
    <row r="10" spans="1:18" x14ac:dyDescent="0.25">
      <c r="A10" s="2">
        <v>20200221</v>
      </c>
      <c r="B10" s="2">
        <v>191703</v>
      </c>
      <c r="C10" s="2">
        <v>4370056</v>
      </c>
      <c r="D10" s="2" t="s">
        <v>0</v>
      </c>
      <c r="E10" s="2">
        <v>32911</v>
      </c>
      <c r="F10" s="2" t="s">
        <v>15</v>
      </c>
      <c r="G10" s="2">
        <v>38.1</v>
      </c>
      <c r="I10" t="s">
        <v>29</v>
      </c>
      <c r="J10">
        <v>3786677</v>
      </c>
      <c r="K10" t="s">
        <v>27</v>
      </c>
      <c r="L10">
        <v>32931</v>
      </c>
      <c r="M10" t="s">
        <v>15</v>
      </c>
      <c r="N10">
        <v>10470</v>
      </c>
      <c r="O10">
        <v>2137674</v>
      </c>
      <c r="P10">
        <v>33.299999999999997</v>
      </c>
      <c r="Q10" s="6">
        <v>43881.984976851854</v>
      </c>
    </row>
    <row r="11" spans="1:18" x14ac:dyDescent="0.25">
      <c r="A11" s="2">
        <v>20200224</v>
      </c>
      <c r="B11" s="2">
        <v>110742</v>
      </c>
      <c r="C11" s="2">
        <v>4371305</v>
      </c>
      <c r="D11" s="2" t="s">
        <v>0</v>
      </c>
      <c r="E11" s="2">
        <v>32941</v>
      </c>
      <c r="F11" s="2" t="s">
        <v>15</v>
      </c>
      <c r="G11" s="2">
        <v>170.4</v>
      </c>
      <c r="I11" s="2" t="s">
        <v>29</v>
      </c>
      <c r="J11" s="2">
        <v>3786677</v>
      </c>
      <c r="K11" s="2" t="s">
        <v>27</v>
      </c>
      <c r="L11" s="2">
        <v>32931</v>
      </c>
      <c r="M11" s="2" t="s">
        <v>15</v>
      </c>
      <c r="N11" s="2">
        <v>10470</v>
      </c>
      <c r="O11" s="2">
        <v>2137674</v>
      </c>
      <c r="P11" s="2">
        <v>32.5</v>
      </c>
      <c r="Q11" s="18">
        <v>43881.984976851854</v>
      </c>
      <c r="R11" s="2">
        <f>SUM(P8:P11)</f>
        <v>123.6</v>
      </c>
    </row>
    <row r="12" spans="1:18" x14ac:dyDescent="0.25">
      <c r="A12" s="2">
        <v>20200220</v>
      </c>
      <c r="B12" s="2">
        <v>201334</v>
      </c>
      <c r="C12" s="2">
        <v>4368033</v>
      </c>
      <c r="D12" s="2" t="s">
        <v>0</v>
      </c>
      <c r="E12" s="2">
        <v>32891</v>
      </c>
      <c r="F12" s="2" t="s">
        <v>15</v>
      </c>
      <c r="G12" s="2">
        <v>28.5</v>
      </c>
      <c r="I12" s="2" t="s">
        <v>29</v>
      </c>
      <c r="J12" s="2">
        <v>3786677</v>
      </c>
      <c r="K12" s="2" t="s">
        <v>27</v>
      </c>
      <c r="L12" s="2">
        <v>32931</v>
      </c>
      <c r="M12" s="2" t="s">
        <v>15</v>
      </c>
      <c r="N12" s="2">
        <v>10470</v>
      </c>
      <c r="O12" s="2">
        <v>2137674</v>
      </c>
      <c r="P12" s="2">
        <v>38.1</v>
      </c>
      <c r="Q12" s="18">
        <v>43881.999155092592</v>
      </c>
      <c r="R12" s="2">
        <v>38.1</v>
      </c>
    </row>
    <row r="13" spans="1:18" x14ac:dyDescent="0.25">
      <c r="A13" s="2">
        <v>20200221</v>
      </c>
      <c r="B13" s="2">
        <v>184409</v>
      </c>
      <c r="C13" s="2">
        <v>4370050</v>
      </c>
      <c r="D13" s="2" t="s">
        <v>0</v>
      </c>
      <c r="E13" s="2">
        <v>32901</v>
      </c>
      <c r="F13" s="2" t="s">
        <v>15</v>
      </c>
      <c r="G13" s="2">
        <v>160.19999999999999</v>
      </c>
      <c r="I13" t="s">
        <v>29</v>
      </c>
      <c r="J13">
        <v>3786628</v>
      </c>
      <c r="K13" t="s">
        <v>27</v>
      </c>
      <c r="L13">
        <v>32901</v>
      </c>
      <c r="M13" t="s">
        <v>15</v>
      </c>
      <c r="N13">
        <v>10509</v>
      </c>
      <c r="O13">
        <v>2137674</v>
      </c>
      <c r="P13">
        <v>42.2</v>
      </c>
      <c r="Q13" s="6">
        <v>43882.780601851853</v>
      </c>
    </row>
    <row r="14" spans="1:18" x14ac:dyDescent="0.25">
      <c r="A14" s="2">
        <v>20200224</v>
      </c>
      <c r="B14" s="2">
        <v>95459</v>
      </c>
      <c r="C14" s="2">
        <v>4371256</v>
      </c>
      <c r="D14" s="2" t="s">
        <v>0</v>
      </c>
      <c r="E14" s="2">
        <v>32941</v>
      </c>
      <c r="F14" s="2" t="s">
        <v>15</v>
      </c>
      <c r="G14" s="2">
        <v>160.6</v>
      </c>
      <c r="I14" t="s">
        <v>29</v>
      </c>
      <c r="J14">
        <v>3786628</v>
      </c>
      <c r="K14" t="s">
        <v>27</v>
      </c>
      <c r="L14">
        <v>32901</v>
      </c>
      <c r="M14" t="s">
        <v>15</v>
      </c>
      <c r="N14">
        <v>10509</v>
      </c>
      <c r="O14">
        <v>2137674</v>
      </c>
      <c r="P14">
        <v>41.9</v>
      </c>
      <c r="Q14" s="6">
        <v>43882.780613425923</v>
      </c>
    </row>
    <row r="15" spans="1:18" x14ac:dyDescent="0.25">
      <c r="A15" s="2">
        <v>20200224</v>
      </c>
      <c r="B15" s="2">
        <v>105805</v>
      </c>
      <c r="C15" s="2">
        <v>4371292</v>
      </c>
      <c r="D15" s="2" t="s">
        <v>0</v>
      </c>
      <c r="E15" s="2">
        <v>32911</v>
      </c>
      <c r="F15" s="2" t="s">
        <v>15</v>
      </c>
      <c r="G15" s="2">
        <v>87.3</v>
      </c>
      <c r="I15" t="s">
        <v>29</v>
      </c>
      <c r="J15">
        <v>3786628</v>
      </c>
      <c r="K15" t="s">
        <v>27</v>
      </c>
      <c r="L15">
        <v>32901</v>
      </c>
      <c r="M15" t="s">
        <v>15</v>
      </c>
      <c r="N15">
        <v>10509</v>
      </c>
      <c r="O15">
        <v>2137674</v>
      </c>
      <c r="P15">
        <v>37.200000000000003</v>
      </c>
      <c r="Q15" s="6">
        <v>43882.780613425923</v>
      </c>
    </row>
    <row r="16" spans="1:18" x14ac:dyDescent="0.25">
      <c r="A16" s="2">
        <v>20200220</v>
      </c>
      <c r="B16" s="2">
        <v>235847</v>
      </c>
      <c r="C16" s="2">
        <v>4368286</v>
      </c>
      <c r="D16" s="2" t="s">
        <v>0</v>
      </c>
      <c r="E16" s="2">
        <v>32931</v>
      </c>
      <c r="F16" s="2" t="s">
        <v>15</v>
      </c>
      <c r="G16" s="2">
        <v>38.1</v>
      </c>
      <c r="I16" t="s">
        <v>29</v>
      </c>
      <c r="J16">
        <v>3786628</v>
      </c>
      <c r="K16" t="s">
        <v>27</v>
      </c>
      <c r="L16">
        <v>32901</v>
      </c>
      <c r="M16" t="s">
        <v>15</v>
      </c>
      <c r="N16">
        <v>10509</v>
      </c>
      <c r="O16">
        <v>2137674</v>
      </c>
      <c r="P16">
        <v>38.9</v>
      </c>
      <c r="Q16" s="6">
        <v>43882.780613425923</v>
      </c>
    </row>
    <row r="17" spans="1:19" x14ac:dyDescent="0.25">
      <c r="A17" s="2">
        <v>20200221</v>
      </c>
      <c r="B17" s="2">
        <v>184409</v>
      </c>
      <c r="C17" s="2">
        <v>4370050</v>
      </c>
      <c r="D17" s="2" t="s">
        <v>0</v>
      </c>
      <c r="E17" s="2">
        <v>32891</v>
      </c>
      <c r="F17" s="2" t="s">
        <v>15</v>
      </c>
      <c r="G17" s="2">
        <v>83.3</v>
      </c>
      <c r="I17" t="s">
        <v>29</v>
      </c>
      <c r="J17">
        <v>3786628</v>
      </c>
      <c r="K17" t="s">
        <v>27</v>
      </c>
      <c r="L17">
        <v>32891</v>
      </c>
      <c r="M17" t="s">
        <v>15</v>
      </c>
      <c r="N17">
        <v>10509</v>
      </c>
      <c r="O17">
        <v>2137674</v>
      </c>
      <c r="P17">
        <v>36.4</v>
      </c>
      <c r="Q17" s="6">
        <v>43882.780624999999</v>
      </c>
    </row>
    <row r="18" spans="1:19" x14ac:dyDescent="0.25">
      <c r="I18" t="s">
        <v>29</v>
      </c>
      <c r="J18">
        <v>3786628</v>
      </c>
      <c r="K18" t="s">
        <v>27</v>
      </c>
      <c r="L18">
        <v>32891</v>
      </c>
      <c r="M18" t="s">
        <v>15</v>
      </c>
      <c r="N18">
        <v>10509</v>
      </c>
      <c r="O18">
        <v>2137674</v>
      </c>
      <c r="P18">
        <v>46.9</v>
      </c>
      <c r="Q18" s="6">
        <v>43882.780624999999</v>
      </c>
    </row>
    <row r="19" spans="1:19" x14ac:dyDescent="0.25">
      <c r="I19" t="s">
        <v>29</v>
      </c>
      <c r="J19">
        <v>3786628</v>
      </c>
      <c r="K19" t="s">
        <v>27</v>
      </c>
      <c r="L19">
        <v>32931</v>
      </c>
      <c r="M19" t="s">
        <v>15</v>
      </c>
      <c r="N19">
        <v>10509</v>
      </c>
      <c r="O19">
        <v>2137674</v>
      </c>
      <c r="P19">
        <v>24.6</v>
      </c>
      <c r="Q19" s="6">
        <v>43882.780636574076</v>
      </c>
    </row>
    <row r="20" spans="1:19" x14ac:dyDescent="0.25">
      <c r="I20" t="s">
        <v>29</v>
      </c>
      <c r="J20">
        <v>3786628</v>
      </c>
      <c r="K20" t="s">
        <v>27</v>
      </c>
      <c r="L20">
        <v>32931</v>
      </c>
      <c r="M20" t="s">
        <v>15</v>
      </c>
      <c r="N20">
        <v>10509</v>
      </c>
      <c r="O20">
        <v>2137674</v>
      </c>
      <c r="P20">
        <v>33.299999999999997</v>
      </c>
      <c r="Q20" s="6">
        <v>43882.780636574076</v>
      </c>
    </row>
    <row r="21" spans="1:19" x14ac:dyDescent="0.25">
      <c r="I21" s="2" t="s">
        <v>29</v>
      </c>
      <c r="J21" s="2">
        <v>3786628</v>
      </c>
      <c r="K21" s="2" t="s">
        <v>27</v>
      </c>
      <c r="L21" s="2">
        <v>32931</v>
      </c>
      <c r="M21" s="2" t="s">
        <v>15</v>
      </c>
      <c r="N21" s="2">
        <v>10509</v>
      </c>
      <c r="O21" s="2">
        <v>2137674</v>
      </c>
      <c r="P21" s="2">
        <v>53.5</v>
      </c>
      <c r="Q21" s="18">
        <v>43882.780636574076</v>
      </c>
      <c r="R21" s="2">
        <f>SUM(P13:P21)</f>
        <v>354.90000000000003</v>
      </c>
      <c r="S21" s="2">
        <f>SUM(G5,G13,G17)</f>
        <v>354.90000000000003</v>
      </c>
    </row>
    <row r="22" spans="1:19" x14ac:dyDescent="0.25">
      <c r="I22" s="2" t="s">
        <v>29</v>
      </c>
      <c r="J22" s="2">
        <v>3786539</v>
      </c>
      <c r="K22" s="2" t="s">
        <v>27</v>
      </c>
      <c r="L22" s="2">
        <v>32911</v>
      </c>
      <c r="M22" s="2" t="s">
        <v>15</v>
      </c>
      <c r="N22" s="2">
        <v>10406</v>
      </c>
      <c r="O22" s="2">
        <v>2137674</v>
      </c>
      <c r="P22" s="2">
        <v>38.1</v>
      </c>
      <c r="Q22" s="18">
        <v>43882.803506944445</v>
      </c>
      <c r="R22" s="2">
        <v>38.1</v>
      </c>
    </row>
    <row r="23" spans="1:19" x14ac:dyDescent="0.25">
      <c r="I23" s="2" t="s">
        <v>29</v>
      </c>
      <c r="J23" s="2">
        <v>3786628</v>
      </c>
      <c r="K23" s="2" t="s">
        <v>27</v>
      </c>
      <c r="L23" s="2">
        <v>32891</v>
      </c>
      <c r="M23" s="2" t="s">
        <v>15</v>
      </c>
      <c r="N23" s="2">
        <v>10509</v>
      </c>
      <c r="O23" s="2">
        <v>2137674</v>
      </c>
      <c r="P23" s="2">
        <v>33.799999999999997</v>
      </c>
      <c r="Q23" s="18">
        <v>43882.834629629629</v>
      </c>
      <c r="R23" s="2">
        <v>33.799999999999997</v>
      </c>
    </row>
    <row r="24" spans="1:19" x14ac:dyDescent="0.25">
      <c r="I24" t="s">
        <v>29</v>
      </c>
      <c r="J24">
        <v>3786780</v>
      </c>
      <c r="K24" t="s">
        <v>27</v>
      </c>
      <c r="L24">
        <v>32941</v>
      </c>
      <c r="M24" t="s">
        <v>15</v>
      </c>
      <c r="N24">
        <v>10553</v>
      </c>
      <c r="O24">
        <v>2137674</v>
      </c>
      <c r="P24">
        <v>41.3</v>
      </c>
      <c r="Q24" s="6">
        <v>43883.012233796297</v>
      </c>
    </row>
    <row r="25" spans="1:19" x14ac:dyDescent="0.25">
      <c r="I25" t="s">
        <v>29</v>
      </c>
      <c r="J25">
        <v>3786780</v>
      </c>
      <c r="K25" t="s">
        <v>27</v>
      </c>
      <c r="L25">
        <v>32941</v>
      </c>
      <c r="M25" t="s">
        <v>15</v>
      </c>
      <c r="N25">
        <v>10553</v>
      </c>
      <c r="O25">
        <v>2137674</v>
      </c>
      <c r="P25">
        <v>40.1</v>
      </c>
      <c r="Q25" s="6">
        <v>43883.012233796297</v>
      </c>
    </row>
    <row r="26" spans="1:19" x14ac:dyDescent="0.25">
      <c r="I26" t="s">
        <v>29</v>
      </c>
      <c r="J26">
        <v>3786780</v>
      </c>
      <c r="K26" t="s">
        <v>27</v>
      </c>
      <c r="L26">
        <v>32941</v>
      </c>
      <c r="M26" t="s">
        <v>15</v>
      </c>
      <c r="N26">
        <v>10553</v>
      </c>
      <c r="O26">
        <v>2137674</v>
      </c>
      <c r="P26">
        <v>41.5</v>
      </c>
      <c r="Q26" s="6">
        <v>43883.012245370373</v>
      </c>
    </row>
    <row r="27" spans="1:19" x14ac:dyDescent="0.25">
      <c r="I27" t="s">
        <v>29</v>
      </c>
      <c r="J27">
        <v>3786780</v>
      </c>
      <c r="K27" t="s">
        <v>27</v>
      </c>
      <c r="L27">
        <v>32941</v>
      </c>
      <c r="M27" t="s">
        <v>15</v>
      </c>
      <c r="N27">
        <v>10553</v>
      </c>
      <c r="O27">
        <v>2137674</v>
      </c>
      <c r="P27">
        <v>42</v>
      </c>
      <c r="Q27" s="6">
        <v>43883.012245370373</v>
      </c>
    </row>
    <row r="28" spans="1:19" x14ac:dyDescent="0.25">
      <c r="I28" t="s">
        <v>29</v>
      </c>
      <c r="J28">
        <v>3786780</v>
      </c>
      <c r="K28" t="s">
        <v>27</v>
      </c>
      <c r="L28">
        <v>32941</v>
      </c>
      <c r="M28" t="s">
        <v>15</v>
      </c>
      <c r="N28">
        <v>10553</v>
      </c>
      <c r="O28">
        <v>2137674</v>
      </c>
      <c r="P28">
        <v>42.7</v>
      </c>
      <c r="Q28" s="6">
        <v>43883.012245370373</v>
      </c>
    </row>
    <row r="29" spans="1:19" x14ac:dyDescent="0.25">
      <c r="I29" t="s">
        <v>29</v>
      </c>
      <c r="J29">
        <v>3786780</v>
      </c>
      <c r="K29" t="s">
        <v>27</v>
      </c>
      <c r="L29">
        <v>32941</v>
      </c>
      <c r="M29" t="s">
        <v>15</v>
      </c>
      <c r="N29">
        <v>10553</v>
      </c>
      <c r="O29">
        <v>2137674</v>
      </c>
      <c r="P29">
        <v>40</v>
      </c>
      <c r="Q29" s="6">
        <v>43883.012256944443</v>
      </c>
    </row>
    <row r="30" spans="1:19" x14ac:dyDescent="0.25">
      <c r="I30" s="2" t="s">
        <v>29</v>
      </c>
      <c r="J30" s="2">
        <v>3786780</v>
      </c>
      <c r="K30" s="2" t="s">
        <v>27</v>
      </c>
      <c r="L30" s="2">
        <v>32941</v>
      </c>
      <c r="M30" s="2" t="s">
        <v>15</v>
      </c>
      <c r="N30" s="2">
        <v>10553</v>
      </c>
      <c r="O30" s="2">
        <v>2137674</v>
      </c>
      <c r="P30" s="2">
        <v>38.5</v>
      </c>
      <c r="Q30" s="18">
        <v>43883.012256944443</v>
      </c>
      <c r="R30" s="2">
        <f>SUM(P24:P30)</f>
        <v>286.10000000000002</v>
      </c>
    </row>
    <row r="31" spans="1:19" x14ac:dyDescent="0.25">
      <c r="I31" t="s">
        <v>29</v>
      </c>
      <c r="J31">
        <v>3786780</v>
      </c>
      <c r="K31" t="s">
        <v>27</v>
      </c>
      <c r="L31">
        <v>32941</v>
      </c>
      <c r="M31" t="s">
        <v>15</v>
      </c>
      <c r="N31">
        <v>10553</v>
      </c>
      <c r="O31">
        <v>2137674</v>
      </c>
      <c r="P31">
        <v>39.200000000000003</v>
      </c>
      <c r="Q31" s="6">
        <v>43885.365370370368</v>
      </c>
    </row>
    <row r="32" spans="1:19" x14ac:dyDescent="0.25">
      <c r="I32" t="s">
        <v>29</v>
      </c>
      <c r="J32">
        <v>3786780</v>
      </c>
      <c r="K32" t="s">
        <v>27</v>
      </c>
      <c r="L32">
        <v>32941</v>
      </c>
      <c r="M32" t="s">
        <v>15</v>
      </c>
      <c r="N32">
        <v>10553</v>
      </c>
      <c r="O32">
        <v>2137674</v>
      </c>
      <c r="P32">
        <v>42</v>
      </c>
      <c r="Q32" s="6">
        <v>43885.365370370368</v>
      </c>
    </row>
    <row r="33" spans="9:18" x14ac:dyDescent="0.25">
      <c r="I33" t="s">
        <v>29</v>
      </c>
      <c r="J33">
        <v>3786780</v>
      </c>
      <c r="K33" t="s">
        <v>27</v>
      </c>
      <c r="L33">
        <v>32941</v>
      </c>
      <c r="M33" t="s">
        <v>15</v>
      </c>
      <c r="N33">
        <v>10553</v>
      </c>
      <c r="O33">
        <v>2137674</v>
      </c>
      <c r="P33">
        <v>41.7</v>
      </c>
      <c r="Q33" s="6">
        <v>43885.365370370368</v>
      </c>
    </row>
    <row r="34" spans="9:18" x14ac:dyDescent="0.25">
      <c r="I34" t="s">
        <v>29</v>
      </c>
      <c r="J34">
        <v>3786780</v>
      </c>
      <c r="K34" t="s">
        <v>27</v>
      </c>
      <c r="L34">
        <v>32941</v>
      </c>
      <c r="M34" t="s">
        <v>15</v>
      </c>
      <c r="N34">
        <v>10553</v>
      </c>
      <c r="O34">
        <v>2137674</v>
      </c>
      <c r="P34">
        <v>41.3</v>
      </c>
      <c r="Q34" s="6">
        <v>43885.365381944444</v>
      </c>
    </row>
    <row r="35" spans="9:18" x14ac:dyDescent="0.25">
      <c r="I35" t="s">
        <v>29</v>
      </c>
      <c r="J35">
        <v>3786780</v>
      </c>
      <c r="K35" t="s">
        <v>27</v>
      </c>
      <c r="L35">
        <v>32941</v>
      </c>
      <c r="M35" t="s">
        <v>15</v>
      </c>
      <c r="N35">
        <v>10553</v>
      </c>
      <c r="O35">
        <v>2137674</v>
      </c>
      <c r="P35">
        <v>41.4</v>
      </c>
      <c r="Q35" s="6">
        <v>43885.365381944444</v>
      </c>
    </row>
    <row r="36" spans="9:18" x14ac:dyDescent="0.25">
      <c r="I36" s="2" t="s">
        <v>29</v>
      </c>
      <c r="J36" s="2">
        <v>3786780</v>
      </c>
      <c r="K36" s="2" t="s">
        <v>27</v>
      </c>
      <c r="L36" s="2">
        <v>32941</v>
      </c>
      <c r="M36" s="2" t="s">
        <v>15</v>
      </c>
      <c r="N36" s="2">
        <v>10553</v>
      </c>
      <c r="O36" s="2">
        <v>2137674</v>
      </c>
      <c r="P36" s="2">
        <v>41.4</v>
      </c>
      <c r="Q36" s="18">
        <v>43885.365381944444</v>
      </c>
      <c r="R36" s="2">
        <f>SUM(P31:P35,P36)</f>
        <v>247</v>
      </c>
    </row>
    <row r="37" spans="9:18" x14ac:dyDescent="0.25">
      <c r="I37" t="s">
        <v>29</v>
      </c>
      <c r="J37">
        <v>3786780</v>
      </c>
      <c r="K37" t="s">
        <v>27</v>
      </c>
      <c r="L37">
        <v>32941</v>
      </c>
      <c r="M37" t="s">
        <v>15</v>
      </c>
      <c r="N37">
        <v>10553</v>
      </c>
      <c r="O37">
        <v>2137674</v>
      </c>
      <c r="P37">
        <v>39.9</v>
      </c>
      <c r="Q37" s="6">
        <v>43885.413171296299</v>
      </c>
    </row>
    <row r="38" spans="9:18" x14ac:dyDescent="0.25">
      <c r="I38" t="s">
        <v>29</v>
      </c>
      <c r="J38">
        <v>3786780</v>
      </c>
      <c r="K38" t="s">
        <v>27</v>
      </c>
      <c r="L38">
        <v>32941</v>
      </c>
      <c r="M38" t="s">
        <v>15</v>
      </c>
      <c r="N38">
        <v>10553</v>
      </c>
      <c r="O38">
        <v>2137674</v>
      </c>
      <c r="P38">
        <v>38.799999999999997</v>
      </c>
      <c r="Q38" s="6">
        <v>43885.413182870368</v>
      </c>
    </row>
    <row r="39" spans="9:18" x14ac:dyDescent="0.25">
      <c r="I39" t="s">
        <v>29</v>
      </c>
      <c r="J39">
        <v>3786780</v>
      </c>
      <c r="K39" t="s">
        <v>27</v>
      </c>
      <c r="L39">
        <v>32941</v>
      </c>
      <c r="M39" t="s">
        <v>15</v>
      </c>
      <c r="N39">
        <v>10553</v>
      </c>
      <c r="O39">
        <v>2137674</v>
      </c>
      <c r="P39">
        <v>40.299999999999997</v>
      </c>
      <c r="Q39" s="6">
        <v>43885.413182870368</v>
      </c>
    </row>
    <row r="40" spans="9:18" x14ac:dyDescent="0.25">
      <c r="I40" s="2" t="s">
        <v>29</v>
      </c>
      <c r="J40" s="2">
        <v>3786780</v>
      </c>
      <c r="K40" s="2" t="s">
        <v>27</v>
      </c>
      <c r="L40" s="2">
        <v>32941</v>
      </c>
      <c r="M40" s="2" t="s">
        <v>15</v>
      </c>
      <c r="N40" s="2">
        <v>10553</v>
      </c>
      <c r="O40" s="2">
        <v>2137674</v>
      </c>
      <c r="P40" s="2">
        <v>41.6</v>
      </c>
      <c r="Q40" s="18">
        <v>43885.413182870368</v>
      </c>
      <c r="R40" s="2">
        <f>SUM(P37:P40)</f>
        <v>160.6</v>
      </c>
    </row>
    <row r="41" spans="9:18" x14ac:dyDescent="0.25">
      <c r="I41" t="s">
        <v>29</v>
      </c>
      <c r="J41">
        <v>3786611</v>
      </c>
      <c r="K41" t="s">
        <v>27</v>
      </c>
      <c r="L41">
        <v>32911</v>
      </c>
      <c r="M41" t="s">
        <v>15</v>
      </c>
      <c r="N41">
        <v>10435</v>
      </c>
      <c r="O41">
        <v>2137674</v>
      </c>
      <c r="P41">
        <v>42.4</v>
      </c>
      <c r="Q41" s="6">
        <v>43885.456990740742</v>
      </c>
    </row>
    <row r="42" spans="9:18" x14ac:dyDescent="0.25">
      <c r="I42" s="2" t="s">
        <v>29</v>
      </c>
      <c r="J42" s="2">
        <v>3786611</v>
      </c>
      <c r="K42" s="2" t="s">
        <v>27</v>
      </c>
      <c r="L42" s="2">
        <v>32911</v>
      </c>
      <c r="M42" s="2" t="s">
        <v>15</v>
      </c>
      <c r="N42" s="2">
        <v>10435</v>
      </c>
      <c r="O42" s="2">
        <v>2137674</v>
      </c>
      <c r="P42" s="2">
        <v>44.9</v>
      </c>
      <c r="Q42" s="18">
        <v>43885.456990740742</v>
      </c>
      <c r="R42" s="2">
        <f>SUM(P41:P42)</f>
        <v>87.3</v>
      </c>
    </row>
    <row r="43" spans="9:18" x14ac:dyDescent="0.25">
      <c r="I43" t="s">
        <v>29</v>
      </c>
      <c r="J43">
        <v>3786832</v>
      </c>
      <c r="K43" t="s">
        <v>27</v>
      </c>
      <c r="L43">
        <v>32941</v>
      </c>
      <c r="M43" t="s">
        <v>15</v>
      </c>
      <c r="N43">
        <v>10590</v>
      </c>
      <c r="O43">
        <v>2137674</v>
      </c>
      <c r="P43">
        <v>44</v>
      </c>
      <c r="Q43" s="6">
        <v>43885.46365740741</v>
      </c>
    </row>
    <row r="44" spans="9:18" x14ac:dyDescent="0.25">
      <c r="I44" t="s">
        <v>29</v>
      </c>
      <c r="J44">
        <v>3786832</v>
      </c>
      <c r="K44" t="s">
        <v>27</v>
      </c>
      <c r="L44">
        <v>32941</v>
      </c>
      <c r="M44" t="s">
        <v>15</v>
      </c>
      <c r="N44">
        <v>10590</v>
      </c>
      <c r="O44">
        <v>2137674</v>
      </c>
      <c r="P44">
        <v>44.2</v>
      </c>
      <c r="Q44" s="6">
        <v>43885.46366898148</v>
      </c>
    </row>
    <row r="45" spans="9:18" x14ac:dyDescent="0.25">
      <c r="I45" t="s">
        <v>29</v>
      </c>
      <c r="J45">
        <v>3786832</v>
      </c>
      <c r="K45" t="s">
        <v>27</v>
      </c>
      <c r="L45">
        <v>32941</v>
      </c>
      <c r="M45" t="s">
        <v>15</v>
      </c>
      <c r="N45">
        <v>10590</v>
      </c>
      <c r="O45">
        <v>2137674</v>
      </c>
      <c r="P45">
        <v>40.200000000000003</v>
      </c>
      <c r="Q45" s="6">
        <v>43885.46366898148</v>
      </c>
    </row>
    <row r="46" spans="9:18" x14ac:dyDescent="0.25">
      <c r="I46" s="2" t="s">
        <v>29</v>
      </c>
      <c r="J46" s="2">
        <v>3786832</v>
      </c>
      <c r="K46" s="2" t="s">
        <v>27</v>
      </c>
      <c r="L46" s="2">
        <v>32941</v>
      </c>
      <c r="M46" s="2" t="s">
        <v>15</v>
      </c>
      <c r="N46" s="2">
        <v>10590</v>
      </c>
      <c r="O46" s="2">
        <v>2137674</v>
      </c>
      <c r="P46" s="2">
        <v>42</v>
      </c>
      <c r="Q46" s="18">
        <v>43885.463680555556</v>
      </c>
      <c r="R46" s="2">
        <f>SUM(P43:P46)</f>
        <v>170.4</v>
      </c>
    </row>
    <row r="47" spans="9:18" x14ac:dyDescent="0.25">
      <c r="I47" t="s">
        <v>29</v>
      </c>
      <c r="J47">
        <v>3786832</v>
      </c>
      <c r="K47" t="s">
        <v>27</v>
      </c>
      <c r="L47">
        <v>32941</v>
      </c>
      <c r="M47" t="s">
        <v>15</v>
      </c>
      <c r="N47">
        <v>10590</v>
      </c>
      <c r="O47">
        <v>2137674</v>
      </c>
      <c r="P47">
        <v>42.7</v>
      </c>
      <c r="Q47" s="6">
        <v>43885.49322916667</v>
      </c>
    </row>
    <row r="48" spans="9:18" x14ac:dyDescent="0.25">
      <c r="I48" t="s">
        <v>29</v>
      </c>
      <c r="J48">
        <v>3786832</v>
      </c>
      <c r="K48" t="s">
        <v>27</v>
      </c>
      <c r="L48">
        <v>32941</v>
      </c>
      <c r="M48" t="s">
        <v>15</v>
      </c>
      <c r="N48">
        <v>10590</v>
      </c>
      <c r="O48">
        <v>2137674</v>
      </c>
      <c r="P48">
        <v>43.9</v>
      </c>
      <c r="Q48" s="6">
        <v>43885.49322916667</v>
      </c>
    </row>
    <row r="49" spans="9:18" x14ac:dyDescent="0.25">
      <c r="I49" s="2" t="s">
        <v>29</v>
      </c>
      <c r="J49" s="2">
        <v>3786832</v>
      </c>
      <c r="K49" s="2" t="s">
        <v>27</v>
      </c>
      <c r="L49" s="2">
        <v>32941</v>
      </c>
      <c r="M49" s="2" t="s">
        <v>15</v>
      </c>
      <c r="N49" s="2">
        <v>10590</v>
      </c>
      <c r="O49" s="2">
        <v>2137674</v>
      </c>
      <c r="P49" s="2">
        <v>42.9</v>
      </c>
      <c r="Q49" s="18">
        <v>43885.49324074074</v>
      </c>
      <c r="R49" s="2">
        <f>SUM(P48:P49)</f>
        <v>86.8</v>
      </c>
    </row>
    <row r="50" spans="9:18" x14ac:dyDescent="0.25">
      <c r="I50" t="s">
        <v>29</v>
      </c>
      <c r="J50">
        <v>3786832</v>
      </c>
      <c r="K50" t="s">
        <v>27</v>
      </c>
      <c r="L50">
        <v>32941</v>
      </c>
      <c r="M50" t="s">
        <v>15</v>
      </c>
      <c r="N50">
        <v>10590</v>
      </c>
      <c r="O50">
        <v>2137674</v>
      </c>
      <c r="P50">
        <v>41.1</v>
      </c>
      <c r="Q50" s="6">
        <v>43885.49324074074</v>
      </c>
    </row>
    <row r="51" spans="9:18" x14ac:dyDescent="0.25">
      <c r="I51" t="s">
        <v>29</v>
      </c>
      <c r="J51">
        <v>3786832</v>
      </c>
      <c r="K51" t="s">
        <v>27</v>
      </c>
      <c r="L51">
        <v>32941</v>
      </c>
      <c r="M51" t="s">
        <v>15</v>
      </c>
      <c r="N51">
        <v>10590</v>
      </c>
      <c r="O51">
        <v>2137674</v>
      </c>
      <c r="P51">
        <v>42.5</v>
      </c>
      <c r="Q51" s="6">
        <v>43885.49324074074</v>
      </c>
    </row>
    <row r="52" spans="9:18" x14ac:dyDescent="0.25">
      <c r="I52" t="s">
        <v>29</v>
      </c>
      <c r="J52">
        <v>3786832</v>
      </c>
      <c r="K52" t="s">
        <v>27</v>
      </c>
      <c r="L52">
        <v>32941</v>
      </c>
      <c r="M52" t="s">
        <v>15</v>
      </c>
      <c r="N52">
        <v>10590</v>
      </c>
      <c r="O52">
        <v>2137674</v>
      </c>
      <c r="P52">
        <v>43.6</v>
      </c>
      <c r="Q52" s="6">
        <v>43885.49324074074</v>
      </c>
      <c r="R52">
        <f>SUM(P47:P52)</f>
        <v>256.7</v>
      </c>
    </row>
    <row r="53" spans="9:18" x14ac:dyDescent="0.25">
      <c r="I53" t="s">
        <v>29</v>
      </c>
      <c r="J53">
        <v>3786780</v>
      </c>
      <c r="K53" t="s">
        <v>27</v>
      </c>
      <c r="L53">
        <v>32941</v>
      </c>
      <c r="M53" t="s">
        <v>15</v>
      </c>
      <c r="N53">
        <v>10553</v>
      </c>
      <c r="O53">
        <v>2137674</v>
      </c>
      <c r="P53">
        <v>44.2</v>
      </c>
      <c r="Q53" s="6">
        <v>43885.575254629628</v>
      </c>
      <c r="R53">
        <f>SUM(P53)</f>
        <v>44.2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0"/>
  <sheetViews>
    <sheetView workbookViewId="0">
      <selection activeCell="H7" sqref="H7"/>
    </sheetView>
  </sheetViews>
  <sheetFormatPr defaultRowHeight="15" x14ac:dyDescent="0.25"/>
  <cols>
    <col min="5" max="5" width="11.42578125" bestFit="1" customWidth="1"/>
    <col min="9" max="9" width="16.7109375" bestFit="1" customWidth="1"/>
    <col min="13" max="13" width="5.85546875" customWidth="1"/>
    <col min="17" max="17" width="5" bestFit="1" customWidth="1"/>
    <col min="18" max="18" width="14.85546875" bestFit="1" customWidth="1"/>
  </cols>
  <sheetData>
    <row r="2" spans="1:19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35</v>
      </c>
      <c r="Q2" t="s">
        <v>36</v>
      </c>
      <c r="R2" s="4" t="s">
        <v>37</v>
      </c>
    </row>
    <row r="3" spans="1:19" x14ac:dyDescent="0.25">
      <c r="A3" s="15">
        <v>20200222</v>
      </c>
      <c r="B3" s="15">
        <v>1050</v>
      </c>
      <c r="C3" s="15">
        <v>4370391</v>
      </c>
      <c r="D3" s="15" t="s">
        <v>0</v>
      </c>
      <c r="E3" s="15">
        <v>32941</v>
      </c>
      <c r="F3" s="15" t="s">
        <v>20</v>
      </c>
      <c r="G3" s="15">
        <v>174.6</v>
      </c>
      <c r="I3" t="s">
        <v>29</v>
      </c>
      <c r="J3">
        <v>3786680</v>
      </c>
      <c r="K3" t="s">
        <v>27</v>
      </c>
      <c r="L3">
        <v>32931</v>
      </c>
      <c r="M3" t="s">
        <v>20</v>
      </c>
      <c r="N3">
        <v>10502</v>
      </c>
      <c r="O3">
        <v>2137674</v>
      </c>
      <c r="P3" t="s">
        <v>30</v>
      </c>
      <c r="Q3">
        <v>33.9</v>
      </c>
      <c r="R3" s="6">
        <v>43882.362488425926</v>
      </c>
    </row>
    <row r="4" spans="1:19" x14ac:dyDescent="0.25">
      <c r="A4" s="15">
        <v>20200221</v>
      </c>
      <c r="B4" s="15">
        <v>115732</v>
      </c>
      <c r="C4" s="15">
        <v>4369632</v>
      </c>
      <c r="D4" s="15" t="s">
        <v>0</v>
      </c>
      <c r="E4" s="15">
        <v>32931</v>
      </c>
      <c r="F4" s="15" t="s">
        <v>20</v>
      </c>
      <c r="G4" s="15">
        <v>42.5</v>
      </c>
      <c r="I4" t="s">
        <v>29</v>
      </c>
      <c r="J4">
        <v>3786680</v>
      </c>
      <c r="K4" t="s">
        <v>27</v>
      </c>
      <c r="L4">
        <v>32931</v>
      </c>
      <c r="M4" t="s">
        <v>20</v>
      </c>
      <c r="N4">
        <v>10502</v>
      </c>
      <c r="O4">
        <v>2137674</v>
      </c>
      <c r="P4" t="s">
        <v>30</v>
      </c>
      <c r="Q4">
        <v>33</v>
      </c>
      <c r="R4" s="6">
        <v>43882.362500000003</v>
      </c>
    </row>
    <row r="5" spans="1:19" x14ac:dyDescent="0.25">
      <c r="A5" s="15">
        <v>20200221</v>
      </c>
      <c r="B5" s="15">
        <v>234916</v>
      </c>
      <c r="C5" s="15">
        <v>4370378</v>
      </c>
      <c r="D5" s="15" t="s">
        <v>0</v>
      </c>
      <c r="E5" s="15">
        <v>32941</v>
      </c>
      <c r="F5" s="15" t="s">
        <v>20</v>
      </c>
      <c r="G5" s="15">
        <v>35.9</v>
      </c>
      <c r="I5" t="s">
        <v>29</v>
      </c>
      <c r="J5">
        <v>3786680</v>
      </c>
      <c r="K5" t="s">
        <v>27</v>
      </c>
      <c r="L5">
        <v>32931</v>
      </c>
      <c r="M5" t="s">
        <v>20</v>
      </c>
      <c r="N5">
        <v>10502</v>
      </c>
      <c r="O5">
        <v>2137674</v>
      </c>
      <c r="P5" t="s">
        <v>30</v>
      </c>
      <c r="Q5">
        <v>32.9</v>
      </c>
      <c r="R5" s="6">
        <v>43882.362500000003</v>
      </c>
    </row>
    <row r="6" spans="1:19" x14ac:dyDescent="0.25">
      <c r="A6" s="15">
        <v>20200221</v>
      </c>
      <c r="B6" s="15">
        <v>143605</v>
      </c>
      <c r="C6" s="15">
        <v>4369743</v>
      </c>
      <c r="D6" s="15" t="s">
        <v>0</v>
      </c>
      <c r="E6" s="15">
        <v>32941</v>
      </c>
      <c r="F6" s="15" t="s">
        <v>20</v>
      </c>
      <c r="G6" s="15">
        <v>245.8</v>
      </c>
      <c r="I6" t="s">
        <v>29</v>
      </c>
      <c r="J6">
        <v>3786680</v>
      </c>
      <c r="K6" t="s">
        <v>27</v>
      </c>
      <c r="L6">
        <v>32931</v>
      </c>
      <c r="M6" t="s">
        <v>20</v>
      </c>
      <c r="N6">
        <v>10502</v>
      </c>
      <c r="O6">
        <v>2137674</v>
      </c>
      <c r="P6" t="s">
        <v>30</v>
      </c>
      <c r="Q6">
        <v>31.4</v>
      </c>
      <c r="R6" s="6">
        <v>43882.362500000003</v>
      </c>
    </row>
    <row r="7" spans="1:19" x14ac:dyDescent="0.25">
      <c r="A7" s="15">
        <v>20200221</v>
      </c>
      <c r="B7" s="15">
        <v>84201</v>
      </c>
      <c r="C7" s="15">
        <v>4369414</v>
      </c>
      <c r="D7" s="15" t="s">
        <v>0</v>
      </c>
      <c r="E7" s="15">
        <v>32931</v>
      </c>
      <c r="F7" s="15" t="s">
        <v>20</v>
      </c>
      <c r="G7" s="15">
        <v>198.5</v>
      </c>
      <c r="I7" t="s">
        <v>29</v>
      </c>
      <c r="J7">
        <v>3786680</v>
      </c>
      <c r="K7" t="s">
        <v>27</v>
      </c>
      <c r="L7">
        <v>32931</v>
      </c>
      <c r="M7" t="s">
        <v>20</v>
      </c>
      <c r="N7">
        <v>10502</v>
      </c>
      <c r="O7">
        <v>2137674</v>
      </c>
      <c r="P7" t="s">
        <v>30</v>
      </c>
      <c r="Q7">
        <v>33.5</v>
      </c>
      <c r="R7" s="6">
        <v>43882.362511574072</v>
      </c>
    </row>
    <row r="8" spans="1:19" x14ac:dyDescent="0.25">
      <c r="I8" s="15" t="s">
        <v>29</v>
      </c>
      <c r="J8" s="15">
        <v>3786680</v>
      </c>
      <c r="K8" s="15" t="s">
        <v>27</v>
      </c>
      <c r="L8" s="15">
        <v>32931</v>
      </c>
      <c r="M8" s="15" t="s">
        <v>20</v>
      </c>
      <c r="N8" s="15">
        <v>10502</v>
      </c>
      <c r="O8" s="15">
        <v>2137674</v>
      </c>
      <c r="P8" s="15" t="s">
        <v>30</v>
      </c>
      <c r="Q8" s="15">
        <v>33.799999999999997</v>
      </c>
      <c r="R8" s="17">
        <v>43882.362511574072</v>
      </c>
      <c r="S8" s="15">
        <f>SUM(Q3:Q8)</f>
        <v>198.5</v>
      </c>
    </row>
    <row r="9" spans="1:19" x14ac:dyDescent="0.25">
      <c r="I9" s="15" t="s">
        <v>29</v>
      </c>
      <c r="J9" s="15">
        <v>3786680</v>
      </c>
      <c r="K9" s="15" t="s">
        <v>27</v>
      </c>
      <c r="L9" s="15">
        <v>32931</v>
      </c>
      <c r="M9" s="15" t="s">
        <v>20</v>
      </c>
      <c r="N9" s="15">
        <v>10502</v>
      </c>
      <c r="O9" s="15">
        <v>2137674</v>
      </c>
      <c r="P9" s="15" t="s">
        <v>30</v>
      </c>
      <c r="Q9" s="15">
        <v>42.5</v>
      </c>
      <c r="R9" s="17">
        <v>43882.498287037037</v>
      </c>
      <c r="S9" s="15">
        <v>42.5</v>
      </c>
    </row>
    <row r="10" spans="1:19" x14ac:dyDescent="0.25">
      <c r="I10" t="s">
        <v>29</v>
      </c>
      <c r="J10">
        <v>3786733</v>
      </c>
      <c r="K10" t="s">
        <v>27</v>
      </c>
      <c r="L10">
        <v>32941</v>
      </c>
      <c r="M10" t="s">
        <v>20</v>
      </c>
      <c r="N10">
        <v>10556</v>
      </c>
      <c r="O10">
        <v>2137674</v>
      </c>
      <c r="P10" t="s">
        <v>30</v>
      </c>
      <c r="Q10">
        <v>37.299999999999997</v>
      </c>
      <c r="R10" s="6">
        <v>43882.60837962963</v>
      </c>
    </row>
    <row r="11" spans="1:19" x14ac:dyDescent="0.25">
      <c r="I11" t="s">
        <v>29</v>
      </c>
      <c r="J11">
        <v>3786733</v>
      </c>
      <c r="K11" t="s">
        <v>27</v>
      </c>
      <c r="L11">
        <v>32941</v>
      </c>
      <c r="M11" t="s">
        <v>20</v>
      </c>
      <c r="N11">
        <v>10556</v>
      </c>
      <c r="O11">
        <v>2137674</v>
      </c>
      <c r="P11" t="s">
        <v>30</v>
      </c>
      <c r="Q11">
        <v>42.7</v>
      </c>
      <c r="R11" s="6">
        <v>43882.60837962963</v>
      </c>
    </row>
    <row r="12" spans="1:19" x14ac:dyDescent="0.25">
      <c r="I12" t="s">
        <v>29</v>
      </c>
      <c r="J12">
        <v>3786733</v>
      </c>
      <c r="K12" t="s">
        <v>27</v>
      </c>
      <c r="L12">
        <v>32941</v>
      </c>
      <c r="M12" t="s">
        <v>20</v>
      </c>
      <c r="N12">
        <v>10556</v>
      </c>
      <c r="O12">
        <v>2137674</v>
      </c>
      <c r="P12" t="s">
        <v>30</v>
      </c>
      <c r="Q12">
        <v>40.799999999999997</v>
      </c>
      <c r="R12" s="6">
        <v>43882.60837962963</v>
      </c>
    </row>
    <row r="13" spans="1:19" x14ac:dyDescent="0.25">
      <c r="I13" t="s">
        <v>29</v>
      </c>
      <c r="J13">
        <v>3786733</v>
      </c>
      <c r="K13" t="s">
        <v>27</v>
      </c>
      <c r="L13">
        <v>32941</v>
      </c>
      <c r="M13" t="s">
        <v>20</v>
      </c>
      <c r="N13">
        <v>10556</v>
      </c>
      <c r="O13">
        <v>2137674</v>
      </c>
      <c r="P13" t="s">
        <v>30</v>
      </c>
      <c r="Q13">
        <v>38.9</v>
      </c>
      <c r="R13" s="6">
        <v>43882.608391203707</v>
      </c>
    </row>
    <row r="14" spans="1:19" x14ac:dyDescent="0.25">
      <c r="I14" t="s">
        <v>29</v>
      </c>
      <c r="J14">
        <v>3786733</v>
      </c>
      <c r="K14" t="s">
        <v>27</v>
      </c>
      <c r="L14">
        <v>32941</v>
      </c>
      <c r="M14" t="s">
        <v>20</v>
      </c>
      <c r="N14">
        <v>10556</v>
      </c>
      <c r="O14">
        <v>2137674</v>
      </c>
      <c r="P14" t="s">
        <v>30</v>
      </c>
      <c r="Q14">
        <v>41.7</v>
      </c>
      <c r="R14" s="6">
        <v>43882.608391203707</v>
      </c>
    </row>
    <row r="15" spans="1:19" x14ac:dyDescent="0.25">
      <c r="I15" s="15" t="s">
        <v>29</v>
      </c>
      <c r="J15" s="15">
        <v>3786733</v>
      </c>
      <c r="K15" s="15" t="s">
        <v>27</v>
      </c>
      <c r="L15" s="15">
        <v>32941</v>
      </c>
      <c r="M15" s="15" t="s">
        <v>20</v>
      </c>
      <c r="N15" s="15">
        <v>10556</v>
      </c>
      <c r="O15" s="15">
        <v>2137674</v>
      </c>
      <c r="P15" s="15" t="s">
        <v>30</v>
      </c>
      <c r="Q15" s="15">
        <v>44.4</v>
      </c>
      <c r="R15" s="17">
        <v>43882.608391203707</v>
      </c>
      <c r="S15" s="15">
        <f>SUM(Q10:Q15)</f>
        <v>245.79999999999998</v>
      </c>
    </row>
    <row r="16" spans="1:19" x14ac:dyDescent="0.25">
      <c r="I16" s="15" t="s">
        <v>29</v>
      </c>
      <c r="J16" s="15">
        <v>3786733</v>
      </c>
      <c r="K16" s="15" t="s">
        <v>27</v>
      </c>
      <c r="L16" s="15">
        <v>32941</v>
      </c>
      <c r="M16" s="15" t="s">
        <v>20</v>
      </c>
      <c r="N16" s="15">
        <v>10556</v>
      </c>
      <c r="O16" s="15">
        <v>2137674</v>
      </c>
      <c r="P16" s="15" t="s">
        <v>30</v>
      </c>
      <c r="Q16" s="15">
        <v>35.9</v>
      </c>
      <c r="R16" s="17">
        <v>43882.992546296293</v>
      </c>
      <c r="S16" s="15">
        <v>35.9</v>
      </c>
    </row>
    <row r="17" spans="9:19" x14ac:dyDescent="0.25">
      <c r="I17" t="s">
        <v>29</v>
      </c>
      <c r="J17">
        <v>3786733</v>
      </c>
      <c r="K17" t="s">
        <v>27</v>
      </c>
      <c r="L17">
        <v>32941</v>
      </c>
      <c r="M17" t="s">
        <v>20</v>
      </c>
      <c r="N17">
        <v>10556</v>
      </c>
      <c r="O17">
        <v>2137674</v>
      </c>
      <c r="P17" t="s">
        <v>30</v>
      </c>
      <c r="Q17">
        <v>45</v>
      </c>
      <c r="R17" s="6">
        <v>43883.0075</v>
      </c>
    </row>
    <row r="18" spans="9:19" x14ac:dyDescent="0.25">
      <c r="I18" t="s">
        <v>29</v>
      </c>
      <c r="J18">
        <v>3786733</v>
      </c>
      <c r="K18" t="s">
        <v>27</v>
      </c>
      <c r="L18">
        <v>32941</v>
      </c>
      <c r="M18" t="s">
        <v>20</v>
      </c>
      <c r="N18">
        <v>10556</v>
      </c>
      <c r="O18">
        <v>2137674</v>
      </c>
      <c r="P18" t="s">
        <v>30</v>
      </c>
      <c r="Q18">
        <v>43.8</v>
      </c>
      <c r="R18" s="6">
        <v>43883.007511574076</v>
      </c>
    </row>
    <row r="19" spans="9:19" x14ac:dyDescent="0.25">
      <c r="I19" t="s">
        <v>29</v>
      </c>
      <c r="J19">
        <v>3786733</v>
      </c>
      <c r="K19" t="s">
        <v>27</v>
      </c>
      <c r="L19">
        <v>32941</v>
      </c>
      <c r="M19" t="s">
        <v>20</v>
      </c>
      <c r="N19">
        <v>10556</v>
      </c>
      <c r="O19">
        <v>2137674</v>
      </c>
      <c r="P19" t="s">
        <v>30</v>
      </c>
      <c r="Q19">
        <v>42.9</v>
      </c>
      <c r="R19" s="6">
        <v>43883.007511574076</v>
      </c>
    </row>
    <row r="20" spans="9:19" x14ac:dyDescent="0.25">
      <c r="I20" s="15" t="s">
        <v>29</v>
      </c>
      <c r="J20" s="15">
        <v>3786733</v>
      </c>
      <c r="K20" s="15" t="s">
        <v>27</v>
      </c>
      <c r="L20" s="15">
        <v>32941</v>
      </c>
      <c r="M20" s="15" t="s">
        <v>20</v>
      </c>
      <c r="N20" s="15">
        <v>10556</v>
      </c>
      <c r="O20" s="15">
        <v>2137674</v>
      </c>
      <c r="P20" s="15" t="s">
        <v>30</v>
      </c>
      <c r="Q20" s="15">
        <v>42.9</v>
      </c>
      <c r="R20" s="17">
        <v>43883.007511574076</v>
      </c>
      <c r="S20" s="15">
        <f>SUM(Q17:Q20)</f>
        <v>174.6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"/>
  <sheetViews>
    <sheetView workbookViewId="0">
      <selection activeCell="J13" sqref="J13"/>
    </sheetView>
  </sheetViews>
  <sheetFormatPr defaultRowHeight="15" x14ac:dyDescent="0.25"/>
  <cols>
    <col min="5" max="5" width="11.42578125" bestFit="1" customWidth="1"/>
  </cols>
  <sheetData>
    <row r="2" spans="1:7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</row>
    <row r="3" spans="1:7" x14ac:dyDescent="0.25">
      <c r="A3" s="16">
        <v>20200224</v>
      </c>
      <c r="B3" s="16">
        <v>132020</v>
      </c>
      <c r="C3" s="16">
        <v>4371560</v>
      </c>
      <c r="D3" s="16" t="s">
        <v>1</v>
      </c>
      <c r="E3" s="16">
        <v>104001</v>
      </c>
      <c r="F3" s="16" t="s">
        <v>22</v>
      </c>
      <c r="G3" s="16">
        <v>5.95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7"/>
  <sheetViews>
    <sheetView topLeftCell="A34" workbookViewId="0">
      <selection activeCell="H15" sqref="H15"/>
    </sheetView>
  </sheetViews>
  <sheetFormatPr defaultRowHeight="15" x14ac:dyDescent="0.25"/>
  <cols>
    <col min="5" max="5" width="11.42578125" bestFit="1" customWidth="1"/>
    <col min="12" max="12" width="6" bestFit="1" customWidth="1"/>
    <col min="13" max="13" width="6.7109375" customWidth="1"/>
    <col min="16" max="16" width="4.42578125" customWidth="1"/>
    <col min="17" max="17" width="5" bestFit="1" customWidth="1"/>
    <col min="18" max="18" width="14.85546875" bestFit="1" customWidth="1"/>
  </cols>
  <sheetData>
    <row r="2" spans="1:19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35</v>
      </c>
      <c r="Q2" t="s">
        <v>36</v>
      </c>
      <c r="R2" t="s">
        <v>37</v>
      </c>
    </row>
    <row r="3" spans="1:19" x14ac:dyDescent="0.25">
      <c r="A3" s="15">
        <v>20200221</v>
      </c>
      <c r="B3" s="15">
        <v>232051</v>
      </c>
      <c r="C3" s="15">
        <v>4370304</v>
      </c>
      <c r="D3" s="15" t="s">
        <v>0</v>
      </c>
      <c r="E3" s="15">
        <v>32941</v>
      </c>
      <c r="F3" s="15" t="s">
        <v>18</v>
      </c>
      <c r="G3" s="15">
        <v>39.200000000000003</v>
      </c>
      <c r="I3" t="s">
        <v>29</v>
      </c>
      <c r="J3">
        <v>3786664</v>
      </c>
      <c r="K3" t="s">
        <v>27</v>
      </c>
      <c r="L3">
        <v>32931</v>
      </c>
      <c r="M3" t="s">
        <v>18</v>
      </c>
      <c r="N3">
        <v>10514</v>
      </c>
      <c r="O3">
        <v>2137674</v>
      </c>
      <c r="P3" t="s">
        <v>30</v>
      </c>
      <c r="Q3">
        <v>31.5</v>
      </c>
      <c r="R3" s="6">
        <v>43881.84003472222</v>
      </c>
    </row>
    <row r="4" spans="1:19" x14ac:dyDescent="0.25">
      <c r="A4" s="15">
        <v>20200220</v>
      </c>
      <c r="B4" s="15">
        <v>235255</v>
      </c>
      <c r="C4" s="15">
        <v>4368255</v>
      </c>
      <c r="D4" s="15" t="s">
        <v>0</v>
      </c>
      <c r="E4" s="15">
        <v>32931</v>
      </c>
      <c r="F4" s="15" t="s">
        <v>18</v>
      </c>
      <c r="G4" s="15">
        <v>77.099999999999994</v>
      </c>
      <c r="I4" t="s">
        <v>29</v>
      </c>
      <c r="J4">
        <v>3786664</v>
      </c>
      <c r="K4" t="s">
        <v>27</v>
      </c>
      <c r="L4">
        <v>32931</v>
      </c>
      <c r="M4" t="s">
        <v>18</v>
      </c>
      <c r="N4">
        <v>10514</v>
      </c>
      <c r="O4">
        <v>2137674</v>
      </c>
      <c r="P4" t="s">
        <v>30</v>
      </c>
      <c r="Q4">
        <v>34.700000000000003</v>
      </c>
      <c r="R4" s="6">
        <v>43881.840046296296</v>
      </c>
    </row>
    <row r="5" spans="1:19" x14ac:dyDescent="0.25">
      <c r="A5" s="15">
        <v>20200221</v>
      </c>
      <c r="B5" s="15">
        <v>232018</v>
      </c>
      <c r="C5" s="15">
        <v>4370294</v>
      </c>
      <c r="D5" s="15" t="s">
        <v>0</v>
      </c>
      <c r="E5" s="15">
        <v>32941</v>
      </c>
      <c r="F5" s="15" t="s">
        <v>18</v>
      </c>
      <c r="G5" s="15">
        <v>81.8</v>
      </c>
      <c r="I5" s="15" t="s">
        <v>29</v>
      </c>
      <c r="J5" s="15">
        <v>3786664</v>
      </c>
      <c r="K5" s="15" t="s">
        <v>27</v>
      </c>
      <c r="L5" s="15">
        <v>32931</v>
      </c>
      <c r="M5" s="15" t="s">
        <v>18</v>
      </c>
      <c r="N5" s="15">
        <v>10514</v>
      </c>
      <c r="O5" s="15">
        <v>2137674</v>
      </c>
      <c r="P5" s="15" t="s">
        <v>30</v>
      </c>
      <c r="Q5" s="15">
        <v>32.799999999999997</v>
      </c>
      <c r="R5" s="17">
        <v>43881.840046296296</v>
      </c>
      <c r="S5" s="15">
        <f>SUM(Q3:Q5)</f>
        <v>99</v>
      </c>
    </row>
    <row r="6" spans="1:19" x14ac:dyDescent="0.25">
      <c r="A6" s="15">
        <v>20200221</v>
      </c>
      <c r="B6" s="15">
        <v>154202</v>
      </c>
      <c r="C6" s="15">
        <v>4369914</v>
      </c>
      <c r="D6" s="15" t="s">
        <v>0</v>
      </c>
      <c r="E6" s="15">
        <v>32941</v>
      </c>
      <c r="F6" s="15" t="s">
        <v>18</v>
      </c>
      <c r="G6" s="15">
        <v>85.6</v>
      </c>
      <c r="I6" s="15" t="s">
        <v>29</v>
      </c>
      <c r="J6" s="15">
        <v>3786664</v>
      </c>
      <c r="K6" s="15" t="s">
        <v>27</v>
      </c>
      <c r="L6" s="15">
        <v>32931</v>
      </c>
      <c r="M6" s="15" t="s">
        <v>18</v>
      </c>
      <c r="N6" s="15">
        <v>10514</v>
      </c>
      <c r="O6" s="15">
        <v>2137674</v>
      </c>
      <c r="P6" s="15" t="s">
        <v>30</v>
      </c>
      <c r="Q6" s="15">
        <v>29.8</v>
      </c>
      <c r="R6" s="17">
        <v>43881.898541666669</v>
      </c>
      <c r="S6" s="15">
        <v>29.8</v>
      </c>
    </row>
    <row r="7" spans="1:19" x14ac:dyDescent="0.25">
      <c r="A7" s="15">
        <v>20200224</v>
      </c>
      <c r="B7" s="15">
        <v>105146</v>
      </c>
      <c r="C7" s="15">
        <v>4371284</v>
      </c>
      <c r="D7" s="15" t="s">
        <v>0</v>
      </c>
      <c r="E7" s="15">
        <v>32911</v>
      </c>
      <c r="F7" s="15" t="s">
        <v>18</v>
      </c>
      <c r="G7" s="15">
        <v>38.299999999999997</v>
      </c>
      <c r="I7" t="s">
        <v>29</v>
      </c>
      <c r="J7">
        <v>3786698</v>
      </c>
      <c r="K7" t="s">
        <v>27</v>
      </c>
      <c r="L7">
        <v>32931</v>
      </c>
      <c r="M7" t="s">
        <v>18</v>
      </c>
      <c r="N7">
        <v>10538</v>
      </c>
      <c r="O7">
        <v>2137674</v>
      </c>
      <c r="P7" t="s">
        <v>30</v>
      </c>
      <c r="Q7">
        <v>38.700000000000003</v>
      </c>
      <c r="R7" s="6">
        <v>43881.995069444441</v>
      </c>
    </row>
    <row r="8" spans="1:19" x14ac:dyDescent="0.25">
      <c r="A8" s="15">
        <v>20200221</v>
      </c>
      <c r="B8" s="15">
        <v>102304</v>
      </c>
      <c r="C8" s="15">
        <v>4369529</v>
      </c>
      <c r="D8" s="15" t="s">
        <v>0</v>
      </c>
      <c r="E8" s="15">
        <v>32931</v>
      </c>
      <c r="F8" s="15" t="s">
        <v>18</v>
      </c>
      <c r="G8" s="15">
        <v>251.5</v>
      </c>
      <c r="I8" s="15" t="s">
        <v>29</v>
      </c>
      <c r="J8" s="15">
        <v>3786698</v>
      </c>
      <c r="K8" s="15" t="s">
        <v>27</v>
      </c>
      <c r="L8" s="15">
        <v>32931</v>
      </c>
      <c r="M8" s="15" t="s">
        <v>18</v>
      </c>
      <c r="N8" s="15">
        <v>10538</v>
      </c>
      <c r="O8" s="15">
        <v>2137674</v>
      </c>
      <c r="P8" s="15" t="s">
        <v>30</v>
      </c>
      <c r="Q8" s="15">
        <v>38.4</v>
      </c>
      <c r="R8" s="17">
        <v>43881.995069444441</v>
      </c>
      <c r="S8" s="15">
        <f>SUM(Q7:Q8)</f>
        <v>77.099999999999994</v>
      </c>
    </row>
    <row r="9" spans="1:19" x14ac:dyDescent="0.25">
      <c r="A9" s="15">
        <v>20200224</v>
      </c>
      <c r="B9" s="15">
        <v>95225</v>
      </c>
      <c r="C9" s="15">
        <v>4371253</v>
      </c>
      <c r="D9" s="15" t="s">
        <v>0</v>
      </c>
      <c r="E9" s="15">
        <v>32911</v>
      </c>
      <c r="F9" s="15" t="s">
        <v>18</v>
      </c>
      <c r="G9" s="15">
        <v>38.1</v>
      </c>
      <c r="I9" t="s">
        <v>29</v>
      </c>
      <c r="J9">
        <v>3786698</v>
      </c>
      <c r="K9" t="s">
        <v>27</v>
      </c>
      <c r="L9">
        <v>32931</v>
      </c>
      <c r="M9" t="s">
        <v>18</v>
      </c>
      <c r="N9">
        <v>10538</v>
      </c>
      <c r="O9">
        <v>2137674</v>
      </c>
      <c r="P9" t="s">
        <v>30</v>
      </c>
      <c r="Q9">
        <v>47.3</v>
      </c>
      <c r="R9" s="6">
        <v>43882.432662037034</v>
      </c>
    </row>
    <row r="10" spans="1:19" x14ac:dyDescent="0.25">
      <c r="A10" s="15">
        <v>20200224</v>
      </c>
      <c r="B10" s="15">
        <v>105547</v>
      </c>
      <c r="C10" s="15">
        <v>4371289</v>
      </c>
      <c r="D10" s="15" t="s">
        <v>0</v>
      </c>
      <c r="E10" s="15">
        <v>32911</v>
      </c>
      <c r="F10" s="15" t="s">
        <v>18</v>
      </c>
      <c r="G10" s="15">
        <v>41.3</v>
      </c>
      <c r="I10" t="s">
        <v>29</v>
      </c>
      <c r="J10">
        <v>3786698</v>
      </c>
      <c r="K10" t="s">
        <v>27</v>
      </c>
      <c r="L10">
        <v>32931</v>
      </c>
      <c r="M10" t="s">
        <v>18</v>
      </c>
      <c r="N10">
        <v>10538</v>
      </c>
      <c r="O10">
        <v>2137674</v>
      </c>
      <c r="P10" t="s">
        <v>30</v>
      </c>
      <c r="Q10">
        <v>40.1</v>
      </c>
      <c r="R10" s="6">
        <v>43882.432662037034</v>
      </c>
    </row>
    <row r="11" spans="1:19" x14ac:dyDescent="0.25">
      <c r="A11" s="15">
        <v>20200221</v>
      </c>
      <c r="B11" s="15">
        <v>194525</v>
      </c>
      <c r="C11" s="15">
        <v>4370091</v>
      </c>
      <c r="D11" s="15" t="s">
        <v>0</v>
      </c>
      <c r="E11" s="15">
        <v>32941</v>
      </c>
      <c r="F11" s="15" t="s">
        <v>18</v>
      </c>
      <c r="G11" s="15">
        <v>171</v>
      </c>
      <c r="I11" t="s">
        <v>29</v>
      </c>
      <c r="J11">
        <v>3786698</v>
      </c>
      <c r="K11" t="s">
        <v>27</v>
      </c>
      <c r="L11">
        <v>32931</v>
      </c>
      <c r="M11" t="s">
        <v>18</v>
      </c>
      <c r="N11">
        <v>10538</v>
      </c>
      <c r="O11">
        <v>2137674</v>
      </c>
      <c r="P11" t="s">
        <v>30</v>
      </c>
      <c r="Q11">
        <v>37.799999999999997</v>
      </c>
      <c r="R11" s="6">
        <v>43882.432673611111</v>
      </c>
    </row>
    <row r="12" spans="1:19" x14ac:dyDescent="0.25">
      <c r="A12" s="15">
        <v>20200224</v>
      </c>
      <c r="B12" s="15">
        <v>73552</v>
      </c>
      <c r="C12" s="15">
        <v>4371118</v>
      </c>
      <c r="D12" s="15" t="s">
        <v>0</v>
      </c>
      <c r="E12" s="15">
        <v>32911</v>
      </c>
      <c r="F12" s="15" t="s">
        <v>18</v>
      </c>
      <c r="G12" s="15">
        <v>122</v>
      </c>
      <c r="I12" t="s">
        <v>29</v>
      </c>
      <c r="J12">
        <v>3786698</v>
      </c>
      <c r="K12" t="s">
        <v>27</v>
      </c>
      <c r="L12">
        <v>32931</v>
      </c>
      <c r="M12" t="s">
        <v>18</v>
      </c>
      <c r="N12">
        <v>10538</v>
      </c>
      <c r="O12">
        <v>2137674</v>
      </c>
      <c r="P12" t="s">
        <v>30</v>
      </c>
      <c r="Q12">
        <v>38</v>
      </c>
      <c r="R12" s="6">
        <v>43882.432673611111</v>
      </c>
    </row>
    <row r="13" spans="1:19" x14ac:dyDescent="0.25">
      <c r="A13" s="15">
        <v>20200220</v>
      </c>
      <c r="B13" s="15">
        <v>200941</v>
      </c>
      <c r="C13" s="15">
        <v>4368031</v>
      </c>
      <c r="D13" s="15" t="s">
        <v>0</v>
      </c>
      <c r="E13" s="15">
        <v>32931</v>
      </c>
      <c r="F13" s="15" t="s">
        <v>18</v>
      </c>
      <c r="G13" s="15">
        <v>99</v>
      </c>
      <c r="I13" t="s">
        <v>29</v>
      </c>
      <c r="J13">
        <v>3786698</v>
      </c>
      <c r="K13" t="s">
        <v>27</v>
      </c>
      <c r="L13">
        <v>32931</v>
      </c>
      <c r="M13" t="s">
        <v>18</v>
      </c>
      <c r="N13">
        <v>10538</v>
      </c>
      <c r="O13">
        <v>2137674</v>
      </c>
      <c r="P13" t="s">
        <v>30</v>
      </c>
      <c r="Q13">
        <v>53.5</v>
      </c>
      <c r="R13" s="6">
        <v>43882.432673611111</v>
      </c>
    </row>
    <row r="14" spans="1:19" x14ac:dyDescent="0.25">
      <c r="A14" s="15">
        <v>20200221</v>
      </c>
      <c r="B14" s="15">
        <v>225634</v>
      </c>
      <c r="C14" s="15">
        <v>4370286</v>
      </c>
      <c r="D14" s="15" t="s">
        <v>0</v>
      </c>
      <c r="E14" s="15">
        <v>32911</v>
      </c>
      <c r="F14" s="15" t="s">
        <v>18</v>
      </c>
      <c r="G14" s="15">
        <v>38.1</v>
      </c>
      <c r="I14" s="15" t="s">
        <v>29</v>
      </c>
      <c r="J14" s="15">
        <v>3786698</v>
      </c>
      <c r="K14" s="15" t="s">
        <v>27</v>
      </c>
      <c r="L14" s="15">
        <v>32931</v>
      </c>
      <c r="M14" s="15" t="s">
        <v>18</v>
      </c>
      <c r="N14" s="15">
        <v>10538</v>
      </c>
      <c r="O14" s="15">
        <v>2137674</v>
      </c>
      <c r="P14" s="15" t="s">
        <v>30</v>
      </c>
      <c r="Q14" s="15">
        <v>34.799999999999997</v>
      </c>
      <c r="R14" s="17">
        <v>43882.432673611111</v>
      </c>
      <c r="S14" s="15">
        <f>SUM(Q9:Q14)</f>
        <v>251.5</v>
      </c>
    </row>
    <row r="15" spans="1:19" x14ac:dyDescent="0.25">
      <c r="A15" s="15">
        <v>20200224</v>
      </c>
      <c r="B15" s="15">
        <v>73901</v>
      </c>
      <c r="C15" s="15">
        <v>4371121</v>
      </c>
      <c r="D15" s="15" t="s">
        <v>0</v>
      </c>
      <c r="E15" s="15">
        <v>32911</v>
      </c>
      <c r="F15" s="15" t="s">
        <v>18</v>
      </c>
      <c r="G15" s="15">
        <v>86.2</v>
      </c>
      <c r="I15" s="15" t="s">
        <v>29</v>
      </c>
      <c r="J15" s="15">
        <v>3786698</v>
      </c>
      <c r="K15" s="15" t="s">
        <v>27</v>
      </c>
      <c r="L15" s="15">
        <v>32931</v>
      </c>
      <c r="M15" s="15" t="s">
        <v>18</v>
      </c>
      <c r="N15" s="15">
        <v>10538</v>
      </c>
      <c r="O15" s="15">
        <v>2137674</v>
      </c>
      <c r="P15" s="15" t="s">
        <v>30</v>
      </c>
      <c r="Q15" s="15">
        <v>35.4</v>
      </c>
      <c r="R15" s="17">
        <v>43882.475810185184</v>
      </c>
      <c r="S15" s="15">
        <v>35.4</v>
      </c>
    </row>
    <row r="16" spans="1:19" x14ac:dyDescent="0.25">
      <c r="A16" s="15">
        <v>20200224</v>
      </c>
      <c r="B16" s="15">
        <v>92846</v>
      </c>
      <c r="C16" s="15">
        <v>4371221</v>
      </c>
      <c r="D16" s="15" t="s">
        <v>0</v>
      </c>
      <c r="E16" s="15">
        <v>32911</v>
      </c>
      <c r="F16" s="15" t="s">
        <v>18</v>
      </c>
      <c r="G16" s="15">
        <v>124.2</v>
      </c>
      <c r="I16" s="15" t="s">
        <v>29</v>
      </c>
      <c r="J16" s="15">
        <v>3786718</v>
      </c>
      <c r="K16" s="15" t="s">
        <v>27</v>
      </c>
      <c r="L16" s="15">
        <v>32941</v>
      </c>
      <c r="M16" s="15" t="s">
        <v>18</v>
      </c>
      <c r="N16" s="15">
        <v>10558</v>
      </c>
      <c r="O16" s="15">
        <v>2137674</v>
      </c>
      <c r="P16" s="15" t="s">
        <v>30</v>
      </c>
      <c r="Q16" s="15">
        <v>42.7</v>
      </c>
      <c r="R16" s="17">
        <v>43882.651250000003</v>
      </c>
      <c r="S16" s="15">
        <v>42.7</v>
      </c>
    </row>
    <row r="17" spans="1:19" x14ac:dyDescent="0.25">
      <c r="A17" s="15">
        <v>20200221</v>
      </c>
      <c r="B17" s="15">
        <v>194412</v>
      </c>
      <c r="C17" s="15">
        <v>4370090</v>
      </c>
      <c r="D17" s="15" t="s">
        <v>0</v>
      </c>
      <c r="E17" s="15">
        <v>32941</v>
      </c>
      <c r="F17" s="15" t="s">
        <v>18</v>
      </c>
      <c r="G17" s="15">
        <v>168.8</v>
      </c>
      <c r="I17" t="s">
        <v>29</v>
      </c>
      <c r="J17">
        <v>3786505</v>
      </c>
      <c r="K17" t="s">
        <v>27</v>
      </c>
      <c r="L17">
        <v>32941</v>
      </c>
      <c r="M17" t="s">
        <v>18</v>
      </c>
      <c r="N17">
        <v>10356</v>
      </c>
      <c r="O17">
        <v>2137674</v>
      </c>
      <c r="P17" t="s">
        <v>30</v>
      </c>
      <c r="Q17">
        <v>41.1</v>
      </c>
      <c r="R17" s="6">
        <v>43882.654178240744</v>
      </c>
    </row>
    <row r="18" spans="1:19" x14ac:dyDescent="0.25">
      <c r="A18" s="15">
        <v>20200222</v>
      </c>
      <c r="B18" s="15">
        <v>1015</v>
      </c>
      <c r="C18" s="15">
        <v>4370390</v>
      </c>
      <c r="D18" s="15" t="s">
        <v>0</v>
      </c>
      <c r="E18" s="15">
        <v>32941</v>
      </c>
      <c r="F18" s="15" t="s">
        <v>18</v>
      </c>
      <c r="G18" s="15">
        <v>205</v>
      </c>
      <c r="I18" s="15" t="s">
        <v>29</v>
      </c>
      <c r="J18" s="15">
        <v>3786505</v>
      </c>
      <c r="K18" s="15" t="s">
        <v>27</v>
      </c>
      <c r="L18" s="15">
        <v>32941</v>
      </c>
      <c r="M18" s="15" t="s">
        <v>18</v>
      </c>
      <c r="N18" s="15">
        <v>10356</v>
      </c>
      <c r="O18" s="15">
        <v>2137674</v>
      </c>
      <c r="P18" s="15" t="s">
        <v>30</v>
      </c>
      <c r="Q18" s="15">
        <v>44.5</v>
      </c>
      <c r="R18" s="17">
        <v>43882.654189814813</v>
      </c>
      <c r="S18" s="15">
        <f>SUM(Q17:Q18)</f>
        <v>85.6</v>
      </c>
    </row>
    <row r="19" spans="1:19" x14ac:dyDescent="0.25">
      <c r="A19" s="15">
        <v>20200221</v>
      </c>
      <c r="B19" s="15">
        <v>153749</v>
      </c>
      <c r="C19" s="15">
        <v>4369911</v>
      </c>
      <c r="D19" s="15" t="s">
        <v>0</v>
      </c>
      <c r="E19" s="15">
        <v>32941</v>
      </c>
      <c r="F19" s="15" t="s">
        <v>18</v>
      </c>
      <c r="G19" s="15">
        <v>42.7</v>
      </c>
      <c r="I19" t="s">
        <v>29</v>
      </c>
      <c r="J19">
        <v>3786718</v>
      </c>
      <c r="K19" t="s">
        <v>27</v>
      </c>
      <c r="L19">
        <v>32941</v>
      </c>
      <c r="M19" t="s">
        <v>18</v>
      </c>
      <c r="N19">
        <v>10558</v>
      </c>
      <c r="O19">
        <v>2137674</v>
      </c>
      <c r="P19" t="s">
        <v>30</v>
      </c>
      <c r="Q19">
        <v>42.3</v>
      </c>
      <c r="R19" s="6">
        <v>43882.822337962964</v>
      </c>
    </row>
    <row r="20" spans="1:19" x14ac:dyDescent="0.25">
      <c r="A20" s="15">
        <v>20200221</v>
      </c>
      <c r="B20" s="15">
        <v>112511</v>
      </c>
      <c r="C20" s="15">
        <v>4369567</v>
      </c>
      <c r="D20" s="15" t="s">
        <v>0</v>
      </c>
      <c r="E20" s="15">
        <v>32931</v>
      </c>
      <c r="F20" s="15" t="s">
        <v>18</v>
      </c>
      <c r="G20" s="15">
        <v>35.4</v>
      </c>
      <c r="I20" t="s">
        <v>29</v>
      </c>
      <c r="J20">
        <v>3786718</v>
      </c>
      <c r="K20" t="s">
        <v>27</v>
      </c>
      <c r="L20">
        <v>32941</v>
      </c>
      <c r="M20" t="s">
        <v>18</v>
      </c>
      <c r="N20">
        <v>10558</v>
      </c>
      <c r="O20">
        <v>2137674</v>
      </c>
      <c r="P20" t="s">
        <v>30</v>
      </c>
      <c r="Q20">
        <v>40.9</v>
      </c>
      <c r="R20" s="6">
        <v>43882.82234953704</v>
      </c>
    </row>
    <row r="21" spans="1:19" x14ac:dyDescent="0.25">
      <c r="A21" s="15">
        <v>20200224</v>
      </c>
      <c r="B21" s="15">
        <v>72318</v>
      </c>
      <c r="C21" s="15">
        <v>4371116</v>
      </c>
      <c r="D21" s="15" t="s">
        <v>0</v>
      </c>
      <c r="E21" s="15">
        <v>32911</v>
      </c>
      <c r="F21" s="15" t="s">
        <v>18</v>
      </c>
      <c r="G21" s="15">
        <v>40.200000000000003</v>
      </c>
      <c r="I21" t="s">
        <v>29</v>
      </c>
      <c r="J21">
        <v>3786718</v>
      </c>
      <c r="K21" t="s">
        <v>27</v>
      </c>
      <c r="L21">
        <v>32941</v>
      </c>
      <c r="M21" t="s">
        <v>18</v>
      </c>
      <c r="N21">
        <v>10558</v>
      </c>
      <c r="O21">
        <v>2137674</v>
      </c>
      <c r="P21" t="s">
        <v>30</v>
      </c>
      <c r="Q21">
        <v>44.4</v>
      </c>
      <c r="R21" s="6">
        <v>43882.82234953704</v>
      </c>
    </row>
    <row r="22" spans="1:19" x14ac:dyDescent="0.25">
      <c r="A22" s="15">
        <v>20200224</v>
      </c>
      <c r="B22" s="15">
        <v>105718</v>
      </c>
      <c r="C22" s="15">
        <v>4371291</v>
      </c>
      <c r="D22" s="15" t="s">
        <v>0</v>
      </c>
      <c r="E22" s="15">
        <v>32911</v>
      </c>
      <c r="F22" s="15" t="s">
        <v>18</v>
      </c>
      <c r="G22" s="15">
        <v>41.5</v>
      </c>
      <c r="I22" s="15" t="s">
        <v>29</v>
      </c>
      <c r="J22" s="15">
        <v>3786718</v>
      </c>
      <c r="K22" s="15" t="s">
        <v>27</v>
      </c>
      <c r="L22" s="15">
        <v>32941</v>
      </c>
      <c r="M22" s="15" t="s">
        <v>18</v>
      </c>
      <c r="N22" s="15">
        <v>10558</v>
      </c>
      <c r="O22" s="15">
        <v>2137674</v>
      </c>
      <c r="P22" s="15" t="s">
        <v>30</v>
      </c>
      <c r="Q22" s="15">
        <v>41.2</v>
      </c>
      <c r="R22" s="17">
        <v>43882.82234953704</v>
      </c>
      <c r="S22" s="15">
        <f>SUM(Q19:Q22)</f>
        <v>168.8</v>
      </c>
    </row>
    <row r="23" spans="1:19" x14ac:dyDescent="0.25">
      <c r="A23" s="15">
        <v>20200220</v>
      </c>
      <c r="B23" s="15">
        <v>213354</v>
      </c>
      <c r="C23" s="15">
        <v>4368083</v>
      </c>
      <c r="D23" s="15" t="s">
        <v>0</v>
      </c>
      <c r="E23" s="15">
        <v>32931</v>
      </c>
      <c r="F23" s="15" t="s">
        <v>18</v>
      </c>
      <c r="G23" s="15">
        <v>29.8</v>
      </c>
      <c r="I23" t="s">
        <v>29</v>
      </c>
      <c r="J23">
        <v>3786505</v>
      </c>
      <c r="K23" t="s">
        <v>27</v>
      </c>
      <c r="L23">
        <v>32941</v>
      </c>
      <c r="M23" t="s">
        <v>18</v>
      </c>
      <c r="N23">
        <v>10356</v>
      </c>
      <c r="O23">
        <v>2137674</v>
      </c>
      <c r="P23" t="s">
        <v>30</v>
      </c>
      <c r="Q23">
        <v>43</v>
      </c>
      <c r="R23" s="6">
        <v>43882.823159722226</v>
      </c>
    </row>
    <row r="24" spans="1:19" x14ac:dyDescent="0.25">
      <c r="A24" s="15">
        <v>20200224</v>
      </c>
      <c r="B24" s="15">
        <v>95336</v>
      </c>
      <c r="C24" s="15">
        <v>4371254</v>
      </c>
      <c r="D24" s="15" t="s">
        <v>0</v>
      </c>
      <c r="E24" s="15">
        <v>32911</v>
      </c>
      <c r="F24" s="15" t="s">
        <v>18</v>
      </c>
      <c r="G24" s="15">
        <v>244.4</v>
      </c>
      <c r="I24" t="s">
        <v>29</v>
      </c>
      <c r="J24">
        <v>3786505</v>
      </c>
      <c r="K24" t="s">
        <v>27</v>
      </c>
      <c r="L24">
        <v>32941</v>
      </c>
      <c r="M24" t="s">
        <v>18</v>
      </c>
      <c r="N24">
        <v>10356</v>
      </c>
      <c r="O24">
        <v>2137674</v>
      </c>
      <c r="P24" t="s">
        <v>30</v>
      </c>
      <c r="Q24">
        <v>43.2</v>
      </c>
      <c r="R24" s="6">
        <v>43882.823159722226</v>
      </c>
    </row>
    <row r="25" spans="1:19" x14ac:dyDescent="0.25">
      <c r="I25" t="s">
        <v>29</v>
      </c>
      <c r="J25">
        <v>3786505</v>
      </c>
      <c r="K25" t="s">
        <v>27</v>
      </c>
      <c r="L25">
        <v>32941</v>
      </c>
      <c r="M25" t="s">
        <v>18</v>
      </c>
      <c r="N25">
        <v>10356</v>
      </c>
      <c r="O25">
        <v>2137674</v>
      </c>
      <c r="P25" t="s">
        <v>30</v>
      </c>
      <c r="Q25">
        <v>42.2</v>
      </c>
      <c r="R25" s="6">
        <v>43882.823159722226</v>
      </c>
    </row>
    <row r="26" spans="1:19" x14ac:dyDescent="0.25">
      <c r="I26" s="15" t="s">
        <v>29</v>
      </c>
      <c r="J26" s="15">
        <v>3786505</v>
      </c>
      <c r="K26" s="15" t="s">
        <v>27</v>
      </c>
      <c r="L26" s="15">
        <v>32941</v>
      </c>
      <c r="M26" s="15" t="s">
        <v>18</v>
      </c>
      <c r="N26" s="15">
        <v>10356</v>
      </c>
      <c r="O26" s="15">
        <v>2137674</v>
      </c>
      <c r="P26" s="15" t="s">
        <v>30</v>
      </c>
      <c r="Q26" s="15">
        <v>42.6</v>
      </c>
      <c r="R26" s="17">
        <v>43882.823171296295</v>
      </c>
      <c r="S26" s="15">
        <f>SUM(Q23:Q26)</f>
        <v>171</v>
      </c>
    </row>
    <row r="27" spans="1:19" x14ac:dyDescent="0.25">
      <c r="I27" s="15" t="s">
        <v>29</v>
      </c>
      <c r="J27" s="15">
        <v>3786571</v>
      </c>
      <c r="K27" s="15" t="s">
        <v>27</v>
      </c>
      <c r="L27" s="15">
        <v>32911</v>
      </c>
      <c r="M27" s="15" t="s">
        <v>18</v>
      </c>
      <c r="N27" s="15">
        <v>10407</v>
      </c>
      <c r="O27" s="15">
        <v>2137674</v>
      </c>
      <c r="P27" s="15" t="s">
        <v>30</v>
      </c>
      <c r="Q27" s="15">
        <v>38.1</v>
      </c>
      <c r="R27" s="17">
        <v>43882.955949074072</v>
      </c>
      <c r="S27" s="15">
        <v>38.1</v>
      </c>
    </row>
    <row r="28" spans="1:19" x14ac:dyDescent="0.25">
      <c r="I28" t="s">
        <v>29</v>
      </c>
      <c r="J28">
        <v>3786505</v>
      </c>
      <c r="K28" t="s">
        <v>27</v>
      </c>
      <c r="L28">
        <v>32941</v>
      </c>
      <c r="M28" t="s">
        <v>18</v>
      </c>
      <c r="N28">
        <v>10356</v>
      </c>
      <c r="O28">
        <v>2137674</v>
      </c>
      <c r="P28" t="s">
        <v>30</v>
      </c>
      <c r="Q28">
        <v>37.9</v>
      </c>
      <c r="R28" s="6">
        <v>43882.972418981481</v>
      </c>
    </row>
    <row r="29" spans="1:19" x14ac:dyDescent="0.25">
      <c r="I29" s="15" t="s">
        <v>29</v>
      </c>
      <c r="J29" s="15">
        <v>3786505</v>
      </c>
      <c r="K29" s="15" t="s">
        <v>27</v>
      </c>
      <c r="L29" s="15">
        <v>32941</v>
      </c>
      <c r="M29" s="15" t="s">
        <v>18</v>
      </c>
      <c r="N29" s="15">
        <v>10356</v>
      </c>
      <c r="O29" s="15">
        <v>2137674</v>
      </c>
      <c r="P29" s="15" t="s">
        <v>30</v>
      </c>
      <c r="Q29" s="15">
        <v>43.9</v>
      </c>
      <c r="R29" s="17">
        <v>43882.972430555557</v>
      </c>
      <c r="S29" s="15">
        <f>SUM(Q28:Q29)</f>
        <v>81.8</v>
      </c>
    </row>
    <row r="30" spans="1:19" x14ac:dyDescent="0.25">
      <c r="I30" s="15" t="s">
        <v>29</v>
      </c>
      <c r="J30" s="15">
        <v>3786718</v>
      </c>
      <c r="K30" s="15" t="s">
        <v>27</v>
      </c>
      <c r="L30" s="15">
        <v>32941</v>
      </c>
      <c r="M30" s="15" t="s">
        <v>18</v>
      </c>
      <c r="N30" s="15">
        <v>10558</v>
      </c>
      <c r="O30" s="15">
        <v>2137674</v>
      </c>
      <c r="P30" s="15" t="s">
        <v>30</v>
      </c>
      <c r="Q30" s="15">
        <v>39.200000000000003</v>
      </c>
      <c r="R30" s="17">
        <v>43882.972800925927</v>
      </c>
      <c r="S30" s="15">
        <f>SUM(Q30)</f>
        <v>39.200000000000003</v>
      </c>
    </row>
    <row r="31" spans="1:19" x14ac:dyDescent="0.25">
      <c r="I31" t="s">
        <v>29</v>
      </c>
      <c r="J31">
        <v>3786718</v>
      </c>
      <c r="K31" t="s">
        <v>27</v>
      </c>
      <c r="L31">
        <v>32941</v>
      </c>
      <c r="M31" t="s">
        <v>18</v>
      </c>
      <c r="N31">
        <v>10558</v>
      </c>
      <c r="O31">
        <v>2137674</v>
      </c>
      <c r="P31" t="s">
        <v>30</v>
      </c>
      <c r="Q31">
        <v>42.6</v>
      </c>
      <c r="R31" s="6">
        <v>43883.007094907407</v>
      </c>
    </row>
    <row r="32" spans="1:19" x14ac:dyDescent="0.25">
      <c r="I32" t="s">
        <v>29</v>
      </c>
      <c r="J32">
        <v>3786718</v>
      </c>
      <c r="K32" t="s">
        <v>27</v>
      </c>
      <c r="L32">
        <v>32941</v>
      </c>
      <c r="M32" t="s">
        <v>18</v>
      </c>
      <c r="N32">
        <v>10558</v>
      </c>
      <c r="O32">
        <v>2137674</v>
      </c>
      <c r="P32" t="s">
        <v>30</v>
      </c>
      <c r="Q32">
        <v>42.8</v>
      </c>
      <c r="R32" s="6">
        <v>43883.007094907407</v>
      </c>
    </row>
    <row r="33" spans="9:19" x14ac:dyDescent="0.25">
      <c r="I33" t="s">
        <v>29</v>
      </c>
      <c r="J33">
        <v>3786718</v>
      </c>
      <c r="K33" t="s">
        <v>27</v>
      </c>
      <c r="L33">
        <v>32941</v>
      </c>
      <c r="M33" t="s">
        <v>18</v>
      </c>
      <c r="N33">
        <v>10558</v>
      </c>
      <c r="O33">
        <v>2137674</v>
      </c>
      <c r="P33" t="s">
        <v>30</v>
      </c>
      <c r="Q33">
        <v>41.1</v>
      </c>
      <c r="R33" s="6">
        <v>43883.007106481484</v>
      </c>
    </row>
    <row r="34" spans="9:19" x14ac:dyDescent="0.25">
      <c r="I34" t="s">
        <v>29</v>
      </c>
      <c r="J34">
        <v>3786718</v>
      </c>
      <c r="K34" t="s">
        <v>27</v>
      </c>
      <c r="L34">
        <v>32941</v>
      </c>
      <c r="M34" t="s">
        <v>18</v>
      </c>
      <c r="N34">
        <v>10558</v>
      </c>
      <c r="O34">
        <v>2137674</v>
      </c>
      <c r="P34" t="s">
        <v>30</v>
      </c>
      <c r="Q34">
        <v>39.799999999999997</v>
      </c>
      <c r="R34" s="6">
        <v>43883.007106481484</v>
      </c>
    </row>
    <row r="35" spans="9:19" x14ac:dyDescent="0.25">
      <c r="I35" s="15" t="s">
        <v>29</v>
      </c>
      <c r="J35" s="15">
        <v>3786718</v>
      </c>
      <c r="K35" s="15" t="s">
        <v>27</v>
      </c>
      <c r="L35" s="15">
        <v>32941</v>
      </c>
      <c r="M35" s="15" t="s">
        <v>18</v>
      </c>
      <c r="N35" s="15">
        <v>10558</v>
      </c>
      <c r="O35" s="15">
        <v>2137674</v>
      </c>
      <c r="P35" s="15" t="s">
        <v>30</v>
      </c>
      <c r="Q35" s="15">
        <v>38.700000000000003</v>
      </c>
      <c r="R35" s="17">
        <v>43883.007106481484</v>
      </c>
      <c r="S35" s="15">
        <f>SUM(Q31:Q35)</f>
        <v>205</v>
      </c>
    </row>
    <row r="36" spans="9:19" x14ac:dyDescent="0.25">
      <c r="I36" s="15" t="s">
        <v>29</v>
      </c>
      <c r="J36" s="15">
        <v>3786608</v>
      </c>
      <c r="K36" s="15" t="s">
        <v>27</v>
      </c>
      <c r="L36" s="15">
        <v>32911</v>
      </c>
      <c r="M36" s="15" t="s">
        <v>18</v>
      </c>
      <c r="N36" s="15">
        <v>10477</v>
      </c>
      <c r="O36" s="15">
        <v>2137674</v>
      </c>
      <c r="P36" s="15" t="s">
        <v>30</v>
      </c>
      <c r="Q36" s="15">
        <v>40.200000000000003</v>
      </c>
      <c r="R36" s="17">
        <v>43885.307847222219</v>
      </c>
      <c r="S36" s="15">
        <v>40.200000000000003</v>
      </c>
    </row>
    <row r="37" spans="9:19" x14ac:dyDescent="0.25">
      <c r="I37" t="s">
        <v>29</v>
      </c>
      <c r="J37">
        <v>3786608</v>
      </c>
      <c r="K37" t="s">
        <v>27</v>
      </c>
      <c r="L37">
        <v>32911</v>
      </c>
      <c r="M37" t="s">
        <v>18</v>
      </c>
      <c r="N37">
        <v>10477</v>
      </c>
      <c r="O37">
        <v>2137674</v>
      </c>
      <c r="P37" t="s">
        <v>30</v>
      </c>
      <c r="Q37">
        <v>39.299999999999997</v>
      </c>
      <c r="R37" s="6">
        <v>43885.316562499997</v>
      </c>
    </row>
    <row r="38" spans="9:19" x14ac:dyDescent="0.25">
      <c r="I38" t="s">
        <v>29</v>
      </c>
      <c r="J38">
        <v>3786608</v>
      </c>
      <c r="K38" t="s">
        <v>27</v>
      </c>
      <c r="L38">
        <v>32911</v>
      </c>
      <c r="M38" t="s">
        <v>18</v>
      </c>
      <c r="N38">
        <v>10477</v>
      </c>
      <c r="O38">
        <v>2137674</v>
      </c>
      <c r="P38" t="s">
        <v>30</v>
      </c>
      <c r="Q38">
        <v>42.5</v>
      </c>
      <c r="R38" s="6">
        <v>43885.316574074073</v>
      </c>
    </row>
    <row r="39" spans="9:19" x14ac:dyDescent="0.25">
      <c r="I39" s="15" t="s">
        <v>29</v>
      </c>
      <c r="J39" s="15">
        <v>3786608</v>
      </c>
      <c r="K39" s="15" t="s">
        <v>27</v>
      </c>
      <c r="L39" s="15">
        <v>32911</v>
      </c>
      <c r="M39" s="15" t="s">
        <v>18</v>
      </c>
      <c r="N39" s="15">
        <v>10477</v>
      </c>
      <c r="O39" s="15">
        <v>2137674</v>
      </c>
      <c r="P39" s="15" t="s">
        <v>30</v>
      </c>
      <c r="Q39" s="15">
        <v>40.200000000000003</v>
      </c>
      <c r="R39" s="17">
        <v>43885.316574074073</v>
      </c>
      <c r="S39" s="15">
        <f>SUM(Q37:Q39)</f>
        <v>122</v>
      </c>
    </row>
    <row r="40" spans="9:19" x14ac:dyDescent="0.25">
      <c r="I40" t="s">
        <v>29</v>
      </c>
      <c r="J40">
        <v>3786608</v>
      </c>
      <c r="K40" t="s">
        <v>27</v>
      </c>
      <c r="L40">
        <v>32911</v>
      </c>
      <c r="M40" t="s">
        <v>18</v>
      </c>
      <c r="N40">
        <v>10477</v>
      </c>
      <c r="O40">
        <v>2137674</v>
      </c>
      <c r="P40" t="s">
        <v>30</v>
      </c>
      <c r="Q40">
        <v>45.8</v>
      </c>
      <c r="R40" s="6">
        <v>43885.318749999999</v>
      </c>
    </row>
    <row r="41" spans="9:19" x14ac:dyDescent="0.25">
      <c r="I41" s="15" t="s">
        <v>29</v>
      </c>
      <c r="J41" s="15">
        <v>3786608</v>
      </c>
      <c r="K41" s="15" t="s">
        <v>27</v>
      </c>
      <c r="L41" s="15">
        <v>32911</v>
      </c>
      <c r="M41" s="15" t="s">
        <v>18</v>
      </c>
      <c r="N41" s="15">
        <v>10477</v>
      </c>
      <c r="O41" s="15">
        <v>2137674</v>
      </c>
      <c r="P41" s="15" t="s">
        <v>30</v>
      </c>
      <c r="Q41" s="15">
        <v>40.4</v>
      </c>
      <c r="R41" s="17">
        <v>43885.318749999999</v>
      </c>
      <c r="S41" s="15">
        <f>SUM(Q40:Q41)</f>
        <v>86.199999999999989</v>
      </c>
    </row>
    <row r="42" spans="9:19" x14ac:dyDescent="0.25">
      <c r="I42" t="s">
        <v>29</v>
      </c>
      <c r="J42">
        <v>3786608</v>
      </c>
      <c r="K42" t="s">
        <v>27</v>
      </c>
      <c r="L42">
        <v>32911</v>
      </c>
      <c r="M42" t="s">
        <v>18</v>
      </c>
      <c r="N42">
        <v>10477</v>
      </c>
      <c r="O42">
        <v>2137674</v>
      </c>
      <c r="P42" t="s">
        <v>30</v>
      </c>
      <c r="Q42">
        <v>40.4</v>
      </c>
      <c r="R42" s="6">
        <v>43885.394965277781</v>
      </c>
    </row>
    <row r="43" spans="9:19" x14ac:dyDescent="0.25">
      <c r="I43" t="s">
        <v>29</v>
      </c>
      <c r="J43">
        <v>3786608</v>
      </c>
      <c r="K43" t="s">
        <v>27</v>
      </c>
      <c r="L43">
        <v>32911</v>
      </c>
      <c r="M43" t="s">
        <v>18</v>
      </c>
      <c r="N43">
        <v>10477</v>
      </c>
      <c r="O43">
        <v>2137674</v>
      </c>
      <c r="P43" t="s">
        <v>30</v>
      </c>
      <c r="Q43">
        <v>42</v>
      </c>
      <c r="R43" s="6">
        <v>43885.394976851851</v>
      </c>
    </row>
    <row r="44" spans="9:19" x14ac:dyDescent="0.25">
      <c r="I44" s="15" t="s">
        <v>29</v>
      </c>
      <c r="J44" s="15">
        <v>3786608</v>
      </c>
      <c r="K44" s="15" t="s">
        <v>27</v>
      </c>
      <c r="L44" s="15">
        <v>32911</v>
      </c>
      <c r="M44" s="15" t="s">
        <v>18</v>
      </c>
      <c r="N44" s="15">
        <v>10477</v>
      </c>
      <c r="O44" s="15">
        <v>2137674</v>
      </c>
      <c r="P44" s="15" t="s">
        <v>30</v>
      </c>
      <c r="Q44" s="15">
        <v>41.8</v>
      </c>
      <c r="R44" s="17">
        <v>43885.394976851851</v>
      </c>
      <c r="S44" s="15">
        <f>SUM(Q42:Q44)</f>
        <v>124.2</v>
      </c>
    </row>
    <row r="45" spans="9:19" x14ac:dyDescent="0.25">
      <c r="I45" s="15" t="s">
        <v>29</v>
      </c>
      <c r="J45" s="15">
        <v>3786608</v>
      </c>
      <c r="K45" s="15" t="s">
        <v>27</v>
      </c>
      <c r="L45" s="15">
        <v>32911</v>
      </c>
      <c r="M45" s="15" t="s">
        <v>18</v>
      </c>
      <c r="N45" s="15">
        <v>10477</v>
      </c>
      <c r="O45" s="15">
        <v>2137674</v>
      </c>
      <c r="P45" s="15" t="s">
        <v>30</v>
      </c>
      <c r="Q45" s="15">
        <v>38.1</v>
      </c>
      <c r="R45" s="17">
        <v>43885.411400462966</v>
      </c>
      <c r="S45" s="15">
        <v>38.1</v>
      </c>
    </row>
    <row r="46" spans="9:19" x14ac:dyDescent="0.25">
      <c r="I46" t="s">
        <v>29</v>
      </c>
      <c r="J46">
        <v>3786608</v>
      </c>
      <c r="K46" t="s">
        <v>27</v>
      </c>
      <c r="L46">
        <v>32911</v>
      </c>
      <c r="M46" t="s">
        <v>18</v>
      </c>
      <c r="N46">
        <v>10477</v>
      </c>
      <c r="O46">
        <v>2137674</v>
      </c>
      <c r="P46" t="s">
        <v>30</v>
      </c>
      <c r="Q46">
        <v>43</v>
      </c>
      <c r="R46" s="6">
        <v>43885.412210648145</v>
      </c>
    </row>
    <row r="47" spans="9:19" x14ac:dyDescent="0.25">
      <c r="I47" t="s">
        <v>29</v>
      </c>
      <c r="J47">
        <v>3786608</v>
      </c>
      <c r="K47" t="s">
        <v>27</v>
      </c>
      <c r="L47">
        <v>32911</v>
      </c>
      <c r="M47" t="s">
        <v>18</v>
      </c>
      <c r="N47">
        <v>10477</v>
      </c>
      <c r="O47">
        <v>2137674</v>
      </c>
      <c r="P47" t="s">
        <v>30</v>
      </c>
      <c r="Q47">
        <v>38.6</v>
      </c>
      <c r="R47" s="6">
        <v>43885.412210648145</v>
      </c>
    </row>
    <row r="48" spans="9:19" x14ac:dyDescent="0.25">
      <c r="I48" t="s">
        <v>29</v>
      </c>
      <c r="J48">
        <v>3786608</v>
      </c>
      <c r="K48" t="s">
        <v>27</v>
      </c>
      <c r="L48">
        <v>32911</v>
      </c>
      <c r="M48" t="s">
        <v>18</v>
      </c>
      <c r="N48">
        <v>10477</v>
      </c>
      <c r="O48">
        <v>2137674</v>
      </c>
      <c r="P48" t="s">
        <v>30</v>
      </c>
      <c r="Q48">
        <v>41.5</v>
      </c>
      <c r="R48" s="6">
        <v>43885.412210648145</v>
      </c>
    </row>
    <row r="49" spans="9:19" x14ac:dyDescent="0.25">
      <c r="I49" t="s">
        <v>29</v>
      </c>
      <c r="J49">
        <v>3786608</v>
      </c>
      <c r="K49" t="s">
        <v>27</v>
      </c>
      <c r="L49">
        <v>32911</v>
      </c>
      <c r="M49" t="s">
        <v>18</v>
      </c>
      <c r="N49">
        <v>10477</v>
      </c>
      <c r="O49">
        <v>2137674</v>
      </c>
      <c r="P49" t="s">
        <v>30</v>
      </c>
      <c r="Q49">
        <v>39.700000000000003</v>
      </c>
      <c r="R49" s="6">
        <v>43885.412210648145</v>
      </c>
    </row>
    <row r="50" spans="9:19" x14ac:dyDescent="0.25">
      <c r="I50" t="s">
        <v>29</v>
      </c>
      <c r="J50">
        <v>3786608</v>
      </c>
      <c r="K50" t="s">
        <v>27</v>
      </c>
      <c r="L50">
        <v>32911</v>
      </c>
      <c r="M50" t="s">
        <v>18</v>
      </c>
      <c r="N50">
        <v>10477</v>
      </c>
      <c r="O50">
        <v>2137674</v>
      </c>
      <c r="P50" t="s">
        <v>30</v>
      </c>
      <c r="Q50">
        <v>40.9</v>
      </c>
      <c r="R50" s="6">
        <v>43885.412222222221</v>
      </c>
    </row>
    <row r="51" spans="9:19" x14ac:dyDescent="0.25">
      <c r="I51" s="15" t="s">
        <v>29</v>
      </c>
      <c r="J51" s="15">
        <v>3786608</v>
      </c>
      <c r="K51" s="15" t="s">
        <v>27</v>
      </c>
      <c r="L51" s="15">
        <v>32911</v>
      </c>
      <c r="M51" s="15" t="s">
        <v>18</v>
      </c>
      <c r="N51" s="15">
        <v>10477</v>
      </c>
      <c r="O51" s="15">
        <v>2137674</v>
      </c>
      <c r="P51" s="15" t="s">
        <v>30</v>
      </c>
      <c r="Q51" s="15">
        <v>40.700000000000003</v>
      </c>
      <c r="R51" s="17">
        <v>43885.412222222221</v>
      </c>
      <c r="S51" s="15">
        <f>SUM(Q46:Q51)</f>
        <v>244.40000000000003</v>
      </c>
    </row>
    <row r="52" spans="9:19" x14ac:dyDescent="0.25">
      <c r="I52" s="15" t="s">
        <v>29</v>
      </c>
      <c r="J52" s="15">
        <v>3786608</v>
      </c>
      <c r="K52" s="15" t="s">
        <v>27</v>
      </c>
      <c r="L52" s="15">
        <v>32911</v>
      </c>
      <c r="M52" s="15" t="s">
        <v>18</v>
      </c>
      <c r="N52" s="15">
        <v>10477</v>
      </c>
      <c r="O52" s="15">
        <v>2137674</v>
      </c>
      <c r="P52" s="15" t="s">
        <v>30</v>
      </c>
      <c r="Q52" s="15">
        <v>38.299999999999997</v>
      </c>
      <c r="R52" s="17">
        <v>43885.452615740738</v>
      </c>
      <c r="S52" s="15">
        <v>38.299999999999997</v>
      </c>
    </row>
    <row r="53" spans="9:19" x14ac:dyDescent="0.25">
      <c r="I53" s="15" t="s">
        <v>29</v>
      </c>
      <c r="J53" s="15">
        <v>3786608</v>
      </c>
      <c r="K53" s="15" t="s">
        <v>27</v>
      </c>
      <c r="L53" s="15">
        <v>32911</v>
      </c>
      <c r="M53" s="15" t="s">
        <v>18</v>
      </c>
      <c r="N53" s="15">
        <v>10477</v>
      </c>
      <c r="O53" s="15">
        <v>2137674</v>
      </c>
      <c r="P53" s="15" t="s">
        <v>30</v>
      </c>
      <c r="Q53" s="15">
        <v>41.3</v>
      </c>
      <c r="R53" s="17">
        <v>43885.455405092594</v>
      </c>
      <c r="S53" s="15">
        <v>41.3</v>
      </c>
    </row>
    <row r="54" spans="9:19" x14ac:dyDescent="0.25">
      <c r="I54" s="15" t="s">
        <v>29</v>
      </c>
      <c r="J54" s="15">
        <v>3786608</v>
      </c>
      <c r="K54" s="15" t="s">
        <v>27</v>
      </c>
      <c r="L54" s="15">
        <v>32911</v>
      </c>
      <c r="M54" s="15" t="s">
        <v>18</v>
      </c>
      <c r="N54" s="15">
        <v>10477</v>
      </c>
      <c r="O54" s="15">
        <v>2137674</v>
      </c>
      <c r="P54" s="15" t="s">
        <v>30</v>
      </c>
      <c r="Q54" s="15">
        <v>41.5</v>
      </c>
      <c r="R54" s="17">
        <v>43885.456458333334</v>
      </c>
      <c r="S54" s="15">
        <v>41.5</v>
      </c>
    </row>
    <row r="55" spans="9:19" x14ac:dyDescent="0.25">
      <c r="I55" t="s">
        <v>29</v>
      </c>
      <c r="J55">
        <v>3786799</v>
      </c>
      <c r="K55" t="s">
        <v>27</v>
      </c>
      <c r="L55">
        <v>32941</v>
      </c>
      <c r="M55" t="s">
        <v>18</v>
      </c>
      <c r="N55">
        <v>10598</v>
      </c>
      <c r="O55">
        <v>2137674</v>
      </c>
      <c r="P55" t="s">
        <v>30</v>
      </c>
      <c r="Q55">
        <v>43.2</v>
      </c>
      <c r="R55" s="6">
        <v>43885.590763888889</v>
      </c>
    </row>
    <row r="56" spans="9:19" x14ac:dyDescent="0.25">
      <c r="I56" t="s">
        <v>29</v>
      </c>
      <c r="J56">
        <v>3786799</v>
      </c>
      <c r="K56" t="s">
        <v>27</v>
      </c>
      <c r="L56">
        <v>32941</v>
      </c>
      <c r="M56" t="s">
        <v>18</v>
      </c>
      <c r="N56">
        <v>10598</v>
      </c>
      <c r="O56">
        <v>2137674</v>
      </c>
      <c r="P56" t="s">
        <v>30</v>
      </c>
      <c r="Q56">
        <v>43.9</v>
      </c>
      <c r="R56" s="6">
        <v>43885.590775462966</v>
      </c>
    </row>
    <row r="57" spans="9:19" x14ac:dyDescent="0.25">
      <c r="I57" t="s">
        <v>29</v>
      </c>
      <c r="J57">
        <v>3786799</v>
      </c>
      <c r="K57" t="s">
        <v>27</v>
      </c>
      <c r="L57">
        <v>32941</v>
      </c>
      <c r="M57" t="s">
        <v>18</v>
      </c>
      <c r="N57">
        <v>10598</v>
      </c>
      <c r="O57">
        <v>2137674</v>
      </c>
      <c r="P57" t="s">
        <v>30</v>
      </c>
      <c r="Q57">
        <v>39.9</v>
      </c>
      <c r="R57" s="6">
        <v>43885.590775462966</v>
      </c>
    </row>
    <row r="58" spans="9:19" x14ac:dyDescent="0.25">
      <c r="I58" t="s">
        <v>29</v>
      </c>
      <c r="J58">
        <v>3786799</v>
      </c>
      <c r="K58" t="s">
        <v>27</v>
      </c>
      <c r="L58">
        <v>32941</v>
      </c>
      <c r="M58" t="s">
        <v>18</v>
      </c>
      <c r="N58">
        <v>10598</v>
      </c>
      <c r="O58">
        <v>2137674</v>
      </c>
      <c r="P58" t="s">
        <v>30</v>
      </c>
      <c r="Q58">
        <v>41.7</v>
      </c>
      <c r="R58" s="6">
        <v>43885.590775462966</v>
      </c>
    </row>
    <row r="59" spans="9:19" x14ac:dyDescent="0.25">
      <c r="I59" t="s">
        <v>29</v>
      </c>
      <c r="J59">
        <v>3786799</v>
      </c>
      <c r="K59" t="s">
        <v>27</v>
      </c>
      <c r="L59">
        <v>32941</v>
      </c>
      <c r="M59" t="s">
        <v>18</v>
      </c>
      <c r="N59">
        <v>10598</v>
      </c>
      <c r="O59">
        <v>2137674</v>
      </c>
      <c r="P59" t="s">
        <v>30</v>
      </c>
      <c r="Q59">
        <v>41.5</v>
      </c>
      <c r="R59" s="6">
        <v>43885.590775462966</v>
      </c>
    </row>
    <row r="60" spans="9:19" x14ac:dyDescent="0.25">
      <c r="I60" t="s">
        <v>29</v>
      </c>
      <c r="J60">
        <v>3786799</v>
      </c>
      <c r="K60" t="s">
        <v>27</v>
      </c>
      <c r="L60">
        <v>32941</v>
      </c>
      <c r="M60" t="s">
        <v>18</v>
      </c>
      <c r="N60">
        <v>10598</v>
      </c>
      <c r="O60">
        <v>2137674</v>
      </c>
      <c r="P60" t="s">
        <v>30</v>
      </c>
      <c r="Q60">
        <v>43.7</v>
      </c>
      <c r="R60" s="6">
        <v>43885.590775462966</v>
      </c>
    </row>
    <row r="61" spans="9:19" x14ac:dyDescent="0.25">
      <c r="I61" t="s">
        <v>29</v>
      </c>
      <c r="J61">
        <v>3786799</v>
      </c>
      <c r="K61" t="s">
        <v>27</v>
      </c>
      <c r="L61">
        <v>32941</v>
      </c>
      <c r="M61" t="s">
        <v>18</v>
      </c>
      <c r="N61">
        <v>10598</v>
      </c>
      <c r="O61">
        <v>2137674</v>
      </c>
      <c r="P61" t="s">
        <v>30</v>
      </c>
      <c r="Q61">
        <v>41.7</v>
      </c>
      <c r="R61" s="6">
        <v>43885.590787037036</v>
      </c>
    </row>
    <row r="62" spans="9:19" x14ac:dyDescent="0.25">
      <c r="I62" t="s">
        <v>29</v>
      </c>
      <c r="J62">
        <v>3786799</v>
      </c>
      <c r="K62" t="s">
        <v>27</v>
      </c>
      <c r="L62">
        <v>32941</v>
      </c>
      <c r="M62" t="s">
        <v>18</v>
      </c>
      <c r="N62">
        <v>10598</v>
      </c>
      <c r="O62">
        <v>2137674</v>
      </c>
      <c r="P62" t="s">
        <v>30</v>
      </c>
      <c r="Q62">
        <v>42.4</v>
      </c>
      <c r="R62" s="6">
        <v>43885.590787037036</v>
      </c>
    </row>
    <row r="63" spans="9:19" x14ac:dyDescent="0.25">
      <c r="I63" t="s">
        <v>29</v>
      </c>
      <c r="J63">
        <v>3786799</v>
      </c>
      <c r="K63" t="s">
        <v>27</v>
      </c>
      <c r="L63">
        <v>32941</v>
      </c>
      <c r="M63" t="s">
        <v>18</v>
      </c>
      <c r="N63">
        <v>10598</v>
      </c>
      <c r="O63">
        <v>2137674</v>
      </c>
      <c r="P63" t="s">
        <v>30</v>
      </c>
      <c r="Q63">
        <v>41.7</v>
      </c>
      <c r="R63" s="6">
        <v>43885.590787037036</v>
      </c>
    </row>
    <row r="64" spans="9:19" x14ac:dyDescent="0.25">
      <c r="I64" t="s">
        <v>29</v>
      </c>
      <c r="J64">
        <v>3786799</v>
      </c>
      <c r="K64" t="s">
        <v>27</v>
      </c>
      <c r="L64">
        <v>32941</v>
      </c>
      <c r="M64" t="s">
        <v>18</v>
      </c>
      <c r="N64">
        <v>10598</v>
      </c>
      <c r="O64">
        <v>2137674</v>
      </c>
      <c r="P64" t="s">
        <v>30</v>
      </c>
      <c r="Q64">
        <v>41.6</v>
      </c>
      <c r="R64" s="6">
        <v>43885.623993055553</v>
      </c>
    </row>
    <row r="65" spans="9:18" x14ac:dyDescent="0.25">
      <c r="I65" t="s">
        <v>29</v>
      </c>
      <c r="J65">
        <v>3786799</v>
      </c>
      <c r="K65" t="s">
        <v>27</v>
      </c>
      <c r="L65">
        <v>32941</v>
      </c>
      <c r="M65" t="s">
        <v>18</v>
      </c>
      <c r="N65">
        <v>10598</v>
      </c>
      <c r="O65">
        <v>2137674</v>
      </c>
      <c r="P65" t="s">
        <v>30</v>
      </c>
      <c r="Q65">
        <v>42.5</v>
      </c>
      <c r="R65" s="6">
        <v>43885.623993055553</v>
      </c>
    </row>
    <row r="66" spans="9:18" x14ac:dyDescent="0.25">
      <c r="I66" t="s">
        <v>29</v>
      </c>
      <c r="J66">
        <v>3786799</v>
      </c>
      <c r="K66" t="s">
        <v>27</v>
      </c>
      <c r="L66">
        <v>32941</v>
      </c>
      <c r="M66" t="s">
        <v>18</v>
      </c>
      <c r="N66">
        <v>10598</v>
      </c>
      <c r="O66">
        <v>2137674</v>
      </c>
      <c r="P66" t="s">
        <v>30</v>
      </c>
      <c r="Q66">
        <v>42.9</v>
      </c>
      <c r="R66" s="6">
        <v>43885.623993055553</v>
      </c>
    </row>
    <row r="67" spans="9:18" x14ac:dyDescent="0.25">
      <c r="I67" t="s">
        <v>29</v>
      </c>
      <c r="J67">
        <v>3786799</v>
      </c>
      <c r="K67" t="s">
        <v>27</v>
      </c>
      <c r="L67">
        <v>32941</v>
      </c>
      <c r="M67" t="s">
        <v>18</v>
      </c>
      <c r="N67">
        <v>10598</v>
      </c>
      <c r="O67">
        <v>2137674</v>
      </c>
      <c r="P67" t="s">
        <v>30</v>
      </c>
      <c r="Q67">
        <v>41.7</v>
      </c>
      <c r="R67" s="6">
        <v>43885.62400462963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79"/>
  <sheetViews>
    <sheetView topLeftCell="A13" workbookViewId="0">
      <selection activeCell="H6" sqref="H6"/>
    </sheetView>
  </sheetViews>
  <sheetFormatPr defaultRowHeight="15" x14ac:dyDescent="0.25"/>
  <cols>
    <col min="5" max="5" width="11.42578125" bestFit="1" customWidth="1"/>
    <col min="12" max="12" width="6" bestFit="1" customWidth="1"/>
    <col min="13" max="13" width="4.42578125" customWidth="1"/>
    <col min="16" max="16" width="6" bestFit="1" customWidth="1"/>
    <col min="17" max="17" width="14.85546875" bestFit="1" customWidth="1"/>
  </cols>
  <sheetData>
    <row r="2" spans="1:18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37</v>
      </c>
    </row>
    <row r="3" spans="1:18" x14ac:dyDescent="0.25">
      <c r="A3" s="15">
        <v>20200224</v>
      </c>
      <c r="B3" s="15">
        <v>104849</v>
      </c>
      <c r="C3" s="15">
        <v>4371269</v>
      </c>
      <c r="D3" s="15" t="s">
        <v>0</v>
      </c>
      <c r="E3" s="15">
        <v>32941</v>
      </c>
      <c r="F3" s="15" t="s">
        <v>9</v>
      </c>
      <c r="G3" s="15">
        <v>254.9</v>
      </c>
      <c r="I3" t="s">
        <v>29</v>
      </c>
      <c r="J3">
        <v>3786599</v>
      </c>
      <c r="K3" t="s">
        <v>27</v>
      </c>
      <c r="L3">
        <v>32901</v>
      </c>
      <c r="M3" t="s">
        <v>9</v>
      </c>
      <c r="N3">
        <v>10465</v>
      </c>
      <c r="O3">
        <v>2137674</v>
      </c>
      <c r="P3">
        <v>37.700000000000003</v>
      </c>
      <c r="Q3" s="6">
        <v>43881.528796296298</v>
      </c>
    </row>
    <row r="4" spans="1:18" x14ac:dyDescent="0.25">
      <c r="A4" s="15">
        <v>20200222</v>
      </c>
      <c r="B4" s="15">
        <v>933</v>
      </c>
      <c r="C4" s="15">
        <v>4370389</v>
      </c>
      <c r="D4" s="15" t="s">
        <v>0</v>
      </c>
      <c r="E4" s="15">
        <v>32941</v>
      </c>
      <c r="F4" s="15" t="s">
        <v>9</v>
      </c>
      <c r="G4" s="15">
        <v>42.3</v>
      </c>
      <c r="I4" t="s">
        <v>29</v>
      </c>
      <c r="J4">
        <v>3786599</v>
      </c>
      <c r="K4" t="s">
        <v>27</v>
      </c>
      <c r="L4">
        <v>32901</v>
      </c>
      <c r="M4" t="s">
        <v>9</v>
      </c>
      <c r="N4">
        <v>10465</v>
      </c>
      <c r="O4">
        <v>2137674</v>
      </c>
      <c r="P4">
        <v>46.9</v>
      </c>
      <c r="Q4" s="6">
        <v>43881.528796296298</v>
      </c>
    </row>
    <row r="5" spans="1:18" x14ac:dyDescent="0.25">
      <c r="A5" s="15">
        <v>20200220</v>
      </c>
      <c r="B5" s="15">
        <v>131703</v>
      </c>
      <c r="C5" s="15">
        <v>4367401</v>
      </c>
      <c r="D5" s="15" t="s">
        <v>0</v>
      </c>
      <c r="E5" s="15">
        <v>32911</v>
      </c>
      <c r="F5" s="15" t="s">
        <v>9</v>
      </c>
      <c r="G5" s="15">
        <v>956.1</v>
      </c>
      <c r="I5" t="s">
        <v>29</v>
      </c>
      <c r="J5">
        <v>3786599</v>
      </c>
      <c r="K5" t="s">
        <v>27</v>
      </c>
      <c r="L5">
        <v>32901</v>
      </c>
      <c r="M5" t="s">
        <v>9</v>
      </c>
      <c r="N5">
        <v>10465</v>
      </c>
      <c r="O5">
        <v>2137674</v>
      </c>
      <c r="P5">
        <v>43.7</v>
      </c>
      <c r="Q5" s="6">
        <v>43881.528807870367</v>
      </c>
    </row>
    <row r="6" spans="1:18" x14ac:dyDescent="0.25">
      <c r="A6" s="15">
        <v>20200224</v>
      </c>
      <c r="B6" s="15">
        <v>63850</v>
      </c>
      <c r="C6" s="15">
        <v>4371084</v>
      </c>
      <c r="D6" s="15" t="s">
        <v>0</v>
      </c>
      <c r="E6" s="15">
        <v>32851</v>
      </c>
      <c r="F6" s="15" t="s">
        <v>9</v>
      </c>
      <c r="G6" s="15">
        <v>83.1</v>
      </c>
      <c r="I6" s="15" t="s">
        <v>29</v>
      </c>
      <c r="J6" s="15">
        <v>3786599</v>
      </c>
      <c r="K6" s="15" t="s">
        <v>27</v>
      </c>
      <c r="L6" s="15">
        <v>32901</v>
      </c>
      <c r="M6" s="15" t="s">
        <v>9</v>
      </c>
      <c r="N6" s="15">
        <v>10465</v>
      </c>
      <c r="O6" s="15">
        <v>2137674</v>
      </c>
      <c r="P6" s="15">
        <v>44.8</v>
      </c>
      <c r="Q6" s="17">
        <v>43881.528807870367</v>
      </c>
      <c r="R6" s="15">
        <f>SUM(P3:P6)</f>
        <v>173.10000000000002</v>
      </c>
    </row>
    <row r="7" spans="1:18" x14ac:dyDescent="0.25">
      <c r="A7" s="15">
        <v>20200224</v>
      </c>
      <c r="B7" s="15">
        <v>112419</v>
      </c>
      <c r="C7" s="15">
        <v>4371336</v>
      </c>
      <c r="D7" s="15" t="s">
        <v>0</v>
      </c>
      <c r="E7" s="15">
        <v>32901</v>
      </c>
      <c r="F7" s="15" t="s">
        <v>9</v>
      </c>
      <c r="G7" s="15">
        <v>40.299999999999997</v>
      </c>
      <c r="I7" t="s">
        <v>28</v>
      </c>
      <c r="J7">
        <v>3786606</v>
      </c>
      <c r="K7" t="s">
        <v>27</v>
      </c>
      <c r="L7">
        <v>32911</v>
      </c>
      <c r="M7" t="s">
        <v>9</v>
      </c>
      <c r="N7">
        <v>10478</v>
      </c>
      <c r="O7">
        <v>0</v>
      </c>
      <c r="P7">
        <v>43.4</v>
      </c>
      <c r="Q7" s="6">
        <v>43881.553518518522</v>
      </c>
    </row>
    <row r="8" spans="1:18" x14ac:dyDescent="0.25">
      <c r="A8" s="15">
        <v>20200221</v>
      </c>
      <c r="B8" s="15">
        <v>92855</v>
      </c>
      <c r="C8" s="15">
        <v>4369435</v>
      </c>
      <c r="D8" s="15" t="s">
        <v>0</v>
      </c>
      <c r="E8" s="15">
        <v>32931</v>
      </c>
      <c r="F8" s="15" t="s">
        <v>9</v>
      </c>
      <c r="G8" s="15">
        <v>271.7</v>
      </c>
      <c r="I8" t="s">
        <v>28</v>
      </c>
      <c r="J8">
        <v>3786606</v>
      </c>
      <c r="K8" t="s">
        <v>27</v>
      </c>
      <c r="L8">
        <v>32911</v>
      </c>
      <c r="M8" t="s">
        <v>9</v>
      </c>
      <c r="N8">
        <v>10478</v>
      </c>
      <c r="O8">
        <v>0</v>
      </c>
      <c r="P8">
        <v>44.7</v>
      </c>
      <c r="Q8" s="6">
        <v>43881.553518518522</v>
      </c>
    </row>
    <row r="9" spans="1:18" x14ac:dyDescent="0.25">
      <c r="A9" s="15">
        <v>20200221</v>
      </c>
      <c r="B9" s="15">
        <v>111642</v>
      </c>
      <c r="C9" s="15">
        <v>4369542</v>
      </c>
      <c r="D9" s="15" t="s">
        <v>0</v>
      </c>
      <c r="E9" s="15">
        <v>32931</v>
      </c>
      <c r="F9" s="15" t="s">
        <v>9</v>
      </c>
      <c r="G9" s="15">
        <v>47.3</v>
      </c>
      <c r="I9" t="s">
        <v>28</v>
      </c>
      <c r="J9">
        <v>3786606</v>
      </c>
      <c r="K9" t="s">
        <v>27</v>
      </c>
      <c r="L9">
        <v>32911</v>
      </c>
      <c r="M9" t="s">
        <v>9</v>
      </c>
      <c r="N9">
        <v>10478</v>
      </c>
      <c r="O9">
        <v>0</v>
      </c>
      <c r="P9">
        <v>42</v>
      </c>
      <c r="Q9" s="6">
        <v>43881.553518518522</v>
      </c>
    </row>
    <row r="10" spans="1:18" x14ac:dyDescent="0.25">
      <c r="A10" s="15">
        <v>20200220</v>
      </c>
      <c r="B10" s="15">
        <v>194442</v>
      </c>
      <c r="C10" s="15">
        <v>4367988</v>
      </c>
      <c r="D10" s="15" t="s">
        <v>0</v>
      </c>
      <c r="E10" s="15">
        <v>32931</v>
      </c>
      <c r="F10" s="15" t="s">
        <v>9</v>
      </c>
      <c r="G10" s="15">
        <v>66.400000000000006</v>
      </c>
      <c r="I10" t="s">
        <v>28</v>
      </c>
      <c r="J10">
        <v>3786606</v>
      </c>
      <c r="K10" t="s">
        <v>27</v>
      </c>
      <c r="L10">
        <v>32911</v>
      </c>
      <c r="M10" t="s">
        <v>9</v>
      </c>
      <c r="N10">
        <v>10478</v>
      </c>
      <c r="O10">
        <v>0</v>
      </c>
      <c r="P10">
        <v>41.4</v>
      </c>
      <c r="Q10" s="6">
        <v>43881.553518518522</v>
      </c>
    </row>
    <row r="11" spans="1:18" x14ac:dyDescent="0.25">
      <c r="A11" s="15">
        <v>20200221</v>
      </c>
      <c r="B11" s="15">
        <v>113448</v>
      </c>
      <c r="C11" s="15">
        <v>4369596</v>
      </c>
      <c r="D11" s="15" t="s">
        <v>0</v>
      </c>
      <c r="E11" s="15">
        <v>32941</v>
      </c>
      <c r="F11" s="15" t="s">
        <v>9</v>
      </c>
      <c r="G11" s="15">
        <v>23.65</v>
      </c>
      <c r="I11" t="s">
        <v>28</v>
      </c>
      <c r="J11">
        <v>3786606</v>
      </c>
      <c r="K11" t="s">
        <v>27</v>
      </c>
      <c r="L11">
        <v>32911</v>
      </c>
      <c r="M11" t="s">
        <v>9</v>
      </c>
      <c r="N11">
        <v>10478</v>
      </c>
      <c r="O11">
        <v>0</v>
      </c>
      <c r="P11">
        <v>40.299999999999997</v>
      </c>
      <c r="Q11" s="6">
        <v>43881.553518518522</v>
      </c>
    </row>
    <row r="12" spans="1:18" x14ac:dyDescent="0.25">
      <c r="A12" s="15">
        <v>20200221</v>
      </c>
      <c r="B12" s="15">
        <v>154439</v>
      </c>
      <c r="C12" s="15">
        <v>4369915</v>
      </c>
      <c r="D12" s="15" t="s">
        <v>0</v>
      </c>
      <c r="E12" s="15">
        <v>32941</v>
      </c>
      <c r="F12" s="15" t="s">
        <v>9</v>
      </c>
      <c r="G12" s="15">
        <v>40.4</v>
      </c>
      <c r="I12" t="s">
        <v>28</v>
      </c>
      <c r="J12">
        <v>3786606</v>
      </c>
      <c r="K12" t="s">
        <v>27</v>
      </c>
      <c r="L12">
        <v>32911</v>
      </c>
      <c r="M12" t="s">
        <v>9</v>
      </c>
      <c r="N12">
        <v>10478</v>
      </c>
      <c r="O12">
        <v>0</v>
      </c>
      <c r="P12">
        <v>38.1</v>
      </c>
      <c r="Q12" s="6">
        <v>43881.553518518522</v>
      </c>
    </row>
    <row r="13" spans="1:18" x14ac:dyDescent="0.25">
      <c r="A13" s="15">
        <v>20200224</v>
      </c>
      <c r="B13" s="15">
        <v>64652</v>
      </c>
      <c r="C13" s="15">
        <v>4371088</v>
      </c>
      <c r="D13" s="15" t="s">
        <v>0</v>
      </c>
      <c r="E13" s="15">
        <v>32941</v>
      </c>
      <c r="F13" s="15" t="s">
        <v>9</v>
      </c>
      <c r="G13" s="15">
        <v>85</v>
      </c>
      <c r="I13" t="s">
        <v>28</v>
      </c>
      <c r="J13">
        <v>3786606</v>
      </c>
      <c r="K13" t="s">
        <v>27</v>
      </c>
      <c r="L13">
        <v>32911</v>
      </c>
      <c r="M13" t="s">
        <v>9</v>
      </c>
      <c r="N13">
        <v>10478</v>
      </c>
      <c r="O13">
        <v>0</v>
      </c>
      <c r="P13">
        <v>42.1</v>
      </c>
      <c r="Q13" s="6">
        <v>43881.553518518522</v>
      </c>
    </row>
    <row r="14" spans="1:18" x14ac:dyDescent="0.25">
      <c r="A14" s="15">
        <v>20200220</v>
      </c>
      <c r="B14" s="15">
        <v>235042</v>
      </c>
      <c r="C14" s="15">
        <v>4368252</v>
      </c>
      <c r="D14" s="15" t="s">
        <v>0</v>
      </c>
      <c r="E14" s="15">
        <v>32931</v>
      </c>
      <c r="F14" s="15" t="s">
        <v>9</v>
      </c>
      <c r="G14" s="15">
        <v>77.900000000000006</v>
      </c>
      <c r="I14" t="s">
        <v>28</v>
      </c>
      <c r="J14">
        <v>3786606</v>
      </c>
      <c r="K14" t="s">
        <v>27</v>
      </c>
      <c r="L14">
        <v>32911</v>
      </c>
      <c r="M14" t="s">
        <v>9</v>
      </c>
      <c r="N14">
        <v>10478</v>
      </c>
      <c r="O14">
        <v>0</v>
      </c>
      <c r="P14">
        <v>40.4</v>
      </c>
      <c r="Q14" s="6">
        <v>43881.553518518522</v>
      </c>
    </row>
    <row r="15" spans="1:18" x14ac:dyDescent="0.25">
      <c r="A15" s="15">
        <v>20200221</v>
      </c>
      <c r="B15" s="15">
        <v>124728</v>
      </c>
      <c r="C15" s="15">
        <v>4369707</v>
      </c>
      <c r="D15" s="15" t="s">
        <v>0</v>
      </c>
      <c r="E15" s="15">
        <v>32941</v>
      </c>
      <c r="F15" s="15" t="s">
        <v>9</v>
      </c>
      <c r="G15" s="15">
        <v>332.6</v>
      </c>
      <c r="I15" t="s">
        <v>28</v>
      </c>
      <c r="J15">
        <v>3786606</v>
      </c>
      <c r="K15" t="s">
        <v>27</v>
      </c>
      <c r="L15">
        <v>32911</v>
      </c>
      <c r="M15" t="s">
        <v>9</v>
      </c>
      <c r="N15">
        <v>10478</v>
      </c>
      <c r="O15">
        <v>0</v>
      </c>
      <c r="P15">
        <v>41.5</v>
      </c>
      <c r="Q15" s="6">
        <v>43881.553518518522</v>
      </c>
    </row>
    <row r="16" spans="1:18" x14ac:dyDescent="0.25">
      <c r="A16" s="15">
        <v>20200224</v>
      </c>
      <c r="B16" s="15">
        <v>112355</v>
      </c>
      <c r="C16" s="15">
        <v>4371335</v>
      </c>
      <c r="D16" s="15" t="s">
        <v>0</v>
      </c>
      <c r="E16" s="15">
        <v>32941</v>
      </c>
      <c r="F16" s="15" t="s">
        <v>9</v>
      </c>
      <c r="G16" s="15">
        <v>84.4</v>
      </c>
      <c r="I16" t="s">
        <v>28</v>
      </c>
      <c r="J16">
        <v>3786606</v>
      </c>
      <c r="K16" t="s">
        <v>27</v>
      </c>
      <c r="L16">
        <v>32911</v>
      </c>
      <c r="M16" t="s">
        <v>9</v>
      </c>
      <c r="N16">
        <v>10478</v>
      </c>
      <c r="O16">
        <v>0</v>
      </c>
      <c r="P16">
        <v>43.4</v>
      </c>
      <c r="Q16" s="6">
        <v>43881.553518518522</v>
      </c>
    </row>
    <row r="17" spans="1:18" x14ac:dyDescent="0.25">
      <c r="A17" s="15">
        <v>20200221</v>
      </c>
      <c r="B17" s="15">
        <v>235738</v>
      </c>
      <c r="C17" s="15">
        <v>4370382</v>
      </c>
      <c r="D17" s="15" t="s">
        <v>0</v>
      </c>
      <c r="E17" s="15">
        <v>32941</v>
      </c>
      <c r="F17" s="15" t="s">
        <v>9</v>
      </c>
      <c r="G17" s="15">
        <v>43.2</v>
      </c>
      <c r="I17" t="s">
        <v>28</v>
      </c>
      <c r="J17">
        <v>3786606</v>
      </c>
      <c r="K17" t="s">
        <v>27</v>
      </c>
      <c r="L17">
        <v>32911</v>
      </c>
      <c r="M17" t="s">
        <v>9</v>
      </c>
      <c r="N17">
        <v>10478</v>
      </c>
      <c r="O17">
        <v>0</v>
      </c>
      <c r="P17">
        <v>40.299999999999997</v>
      </c>
      <c r="Q17" s="6">
        <v>43881.553518518522</v>
      </c>
    </row>
    <row r="18" spans="1:18" x14ac:dyDescent="0.25">
      <c r="A18" s="15">
        <v>20200221</v>
      </c>
      <c r="B18" s="15">
        <v>235637</v>
      </c>
      <c r="C18" s="15">
        <v>4370381</v>
      </c>
      <c r="D18" s="15" t="s">
        <v>0</v>
      </c>
      <c r="E18" s="15">
        <v>32941</v>
      </c>
      <c r="F18" s="15" t="s">
        <v>9</v>
      </c>
      <c r="G18" s="15">
        <v>41.8</v>
      </c>
      <c r="I18" t="s">
        <v>28</v>
      </c>
      <c r="J18">
        <v>3786606</v>
      </c>
      <c r="K18" t="s">
        <v>27</v>
      </c>
      <c r="L18">
        <v>32911</v>
      </c>
      <c r="M18" t="s">
        <v>9</v>
      </c>
      <c r="N18">
        <v>10478</v>
      </c>
      <c r="O18">
        <v>0</v>
      </c>
      <c r="P18">
        <v>44.1</v>
      </c>
      <c r="Q18" s="6">
        <v>43881.553518518522</v>
      </c>
    </row>
    <row r="19" spans="1:18" x14ac:dyDescent="0.25">
      <c r="A19" s="15">
        <v>20200220</v>
      </c>
      <c r="B19" s="15">
        <v>213116</v>
      </c>
      <c r="C19" s="15">
        <v>4368081</v>
      </c>
      <c r="D19" s="15" t="s">
        <v>0</v>
      </c>
      <c r="E19" s="15">
        <v>32931</v>
      </c>
      <c r="F19" s="15" t="s">
        <v>9</v>
      </c>
      <c r="G19" s="15">
        <v>62.8</v>
      </c>
      <c r="I19" t="s">
        <v>28</v>
      </c>
      <c r="J19">
        <v>3786606</v>
      </c>
      <c r="K19" t="s">
        <v>27</v>
      </c>
      <c r="L19">
        <v>32911</v>
      </c>
      <c r="M19" t="s">
        <v>9</v>
      </c>
      <c r="N19">
        <v>10478</v>
      </c>
      <c r="O19">
        <v>0</v>
      </c>
      <c r="P19">
        <v>40.4</v>
      </c>
      <c r="Q19" s="6">
        <v>43881.553518518522</v>
      </c>
    </row>
    <row r="20" spans="1:18" x14ac:dyDescent="0.25">
      <c r="A20" s="15">
        <v>20200220</v>
      </c>
      <c r="B20" s="15">
        <v>124129</v>
      </c>
      <c r="C20" s="15">
        <v>4367392</v>
      </c>
      <c r="D20" s="15" t="s">
        <v>0</v>
      </c>
      <c r="E20" s="15">
        <v>32901</v>
      </c>
      <c r="F20" s="15" t="s">
        <v>9</v>
      </c>
      <c r="G20" s="15">
        <v>173.1</v>
      </c>
      <c r="I20" t="s">
        <v>28</v>
      </c>
      <c r="J20">
        <v>3786606</v>
      </c>
      <c r="K20" t="s">
        <v>27</v>
      </c>
      <c r="L20">
        <v>32911</v>
      </c>
      <c r="M20" t="s">
        <v>9</v>
      </c>
      <c r="N20">
        <v>10478</v>
      </c>
      <c r="O20">
        <v>0</v>
      </c>
      <c r="P20">
        <v>41.2</v>
      </c>
      <c r="Q20" s="6">
        <v>43881.553518518522</v>
      </c>
    </row>
    <row r="21" spans="1:18" x14ac:dyDescent="0.25">
      <c r="A21" s="15">
        <v>20200224</v>
      </c>
      <c r="B21" s="15">
        <v>93754</v>
      </c>
      <c r="C21" s="15">
        <v>4371226</v>
      </c>
      <c r="D21" s="15" t="s">
        <v>0</v>
      </c>
      <c r="E21" s="15">
        <v>32941</v>
      </c>
      <c r="F21" s="15" t="s">
        <v>9</v>
      </c>
      <c r="G21" s="15">
        <v>131.6</v>
      </c>
      <c r="I21" t="s">
        <v>28</v>
      </c>
      <c r="J21">
        <v>3786606</v>
      </c>
      <c r="K21" t="s">
        <v>27</v>
      </c>
      <c r="L21">
        <v>32911</v>
      </c>
      <c r="M21" t="s">
        <v>9</v>
      </c>
      <c r="N21">
        <v>10478</v>
      </c>
      <c r="O21">
        <v>0</v>
      </c>
      <c r="P21">
        <v>40.299999999999997</v>
      </c>
      <c r="Q21" s="6">
        <v>43881.553518518522</v>
      </c>
    </row>
    <row r="22" spans="1:18" x14ac:dyDescent="0.25">
      <c r="A22" s="15">
        <v>20200221</v>
      </c>
      <c r="B22" s="15">
        <v>113422</v>
      </c>
      <c r="C22" s="15">
        <v>4369593</v>
      </c>
      <c r="D22" s="15" t="s">
        <v>0</v>
      </c>
      <c r="E22" s="15">
        <v>32941</v>
      </c>
      <c r="F22" s="15" t="s">
        <v>9</v>
      </c>
      <c r="G22" s="15">
        <v>17.95</v>
      </c>
      <c r="I22" t="s">
        <v>28</v>
      </c>
      <c r="J22">
        <v>3786606</v>
      </c>
      <c r="K22" t="s">
        <v>27</v>
      </c>
      <c r="L22">
        <v>32911</v>
      </c>
      <c r="M22" t="s">
        <v>9</v>
      </c>
      <c r="N22">
        <v>10478</v>
      </c>
      <c r="O22">
        <v>0</v>
      </c>
      <c r="P22">
        <v>41.7</v>
      </c>
      <c r="Q22" s="6">
        <v>43881.553518518522</v>
      </c>
    </row>
    <row r="23" spans="1:18" x14ac:dyDescent="0.25">
      <c r="A23" s="15">
        <v>20200221</v>
      </c>
      <c r="B23" s="15">
        <v>235637</v>
      </c>
      <c r="C23" s="15">
        <v>4370381</v>
      </c>
      <c r="D23" s="15" t="s">
        <v>0</v>
      </c>
      <c r="E23" s="15">
        <v>32931</v>
      </c>
      <c r="F23" s="15" t="s">
        <v>9</v>
      </c>
      <c r="G23" s="15">
        <v>23.65</v>
      </c>
      <c r="I23" t="s">
        <v>28</v>
      </c>
      <c r="J23">
        <v>3786606</v>
      </c>
      <c r="K23" t="s">
        <v>27</v>
      </c>
      <c r="L23">
        <v>32911</v>
      </c>
      <c r="M23" t="s">
        <v>9</v>
      </c>
      <c r="N23">
        <v>10478</v>
      </c>
      <c r="O23">
        <v>0</v>
      </c>
      <c r="P23">
        <v>40.9</v>
      </c>
      <c r="Q23" s="6">
        <v>43881.553518518522</v>
      </c>
    </row>
    <row r="24" spans="1:18" x14ac:dyDescent="0.25">
      <c r="A24" s="15">
        <v>20200221</v>
      </c>
      <c r="B24" s="15">
        <v>161705</v>
      </c>
      <c r="C24" s="15">
        <v>4369920</v>
      </c>
      <c r="D24" s="15" t="s">
        <v>0</v>
      </c>
      <c r="E24" s="15">
        <v>32891</v>
      </c>
      <c r="F24" s="15" t="s">
        <v>9</v>
      </c>
      <c r="G24" s="15">
        <v>97.1</v>
      </c>
      <c r="I24" t="s">
        <v>28</v>
      </c>
      <c r="J24">
        <v>3786606</v>
      </c>
      <c r="K24" t="s">
        <v>27</v>
      </c>
      <c r="L24">
        <v>32911</v>
      </c>
      <c r="M24" t="s">
        <v>9</v>
      </c>
      <c r="N24">
        <v>10478</v>
      </c>
      <c r="O24">
        <v>0</v>
      </c>
      <c r="P24">
        <v>43.2</v>
      </c>
      <c r="Q24" s="6">
        <v>43881.553518518522</v>
      </c>
    </row>
    <row r="25" spans="1:18" x14ac:dyDescent="0.25">
      <c r="I25" t="s">
        <v>28</v>
      </c>
      <c r="J25">
        <v>3786606</v>
      </c>
      <c r="K25" t="s">
        <v>27</v>
      </c>
      <c r="L25">
        <v>32911</v>
      </c>
      <c r="M25" t="s">
        <v>9</v>
      </c>
      <c r="N25">
        <v>10478</v>
      </c>
      <c r="O25">
        <v>0</v>
      </c>
      <c r="P25">
        <v>43.2</v>
      </c>
      <c r="Q25" s="6">
        <v>43881.553530092591</v>
      </c>
    </row>
    <row r="26" spans="1:18" x14ac:dyDescent="0.25">
      <c r="I26" t="s">
        <v>28</v>
      </c>
      <c r="J26">
        <v>3786606</v>
      </c>
      <c r="K26" t="s">
        <v>27</v>
      </c>
      <c r="L26">
        <v>32911</v>
      </c>
      <c r="M26" t="s">
        <v>9</v>
      </c>
      <c r="N26">
        <v>10478</v>
      </c>
      <c r="O26">
        <v>0</v>
      </c>
      <c r="P26">
        <v>40.200000000000003</v>
      </c>
      <c r="Q26" s="6">
        <v>43881.553530092591</v>
      </c>
    </row>
    <row r="27" spans="1:18" x14ac:dyDescent="0.25">
      <c r="I27" t="s">
        <v>28</v>
      </c>
      <c r="J27">
        <v>3786606</v>
      </c>
      <c r="K27" t="s">
        <v>27</v>
      </c>
      <c r="L27">
        <v>32911</v>
      </c>
      <c r="M27" t="s">
        <v>9</v>
      </c>
      <c r="N27">
        <v>10478</v>
      </c>
      <c r="O27">
        <v>0</v>
      </c>
      <c r="P27">
        <v>40.700000000000003</v>
      </c>
      <c r="Q27" s="6">
        <v>43881.553530092591</v>
      </c>
    </row>
    <row r="28" spans="1:18" x14ac:dyDescent="0.25">
      <c r="I28" t="s">
        <v>28</v>
      </c>
      <c r="J28">
        <v>3786606</v>
      </c>
      <c r="K28" t="s">
        <v>27</v>
      </c>
      <c r="L28">
        <v>32911</v>
      </c>
      <c r="M28" t="s">
        <v>9</v>
      </c>
      <c r="N28">
        <v>10478</v>
      </c>
      <c r="O28">
        <v>0</v>
      </c>
      <c r="P28">
        <v>40.200000000000003</v>
      </c>
      <c r="Q28" s="6">
        <v>43881.553530092591</v>
      </c>
    </row>
    <row r="29" spans="1:18" x14ac:dyDescent="0.25">
      <c r="I29" s="15" t="s">
        <v>28</v>
      </c>
      <c r="J29" s="15">
        <v>3786606</v>
      </c>
      <c r="K29" s="15" t="s">
        <v>27</v>
      </c>
      <c r="L29" s="15">
        <v>32911</v>
      </c>
      <c r="M29" s="15" t="s">
        <v>9</v>
      </c>
      <c r="N29" s="15">
        <v>10478</v>
      </c>
      <c r="O29" s="15">
        <v>0</v>
      </c>
      <c r="P29" s="15">
        <v>42.4</v>
      </c>
      <c r="Q29" s="17">
        <v>43881.553530092591</v>
      </c>
      <c r="R29" s="15">
        <f>SUM(P7:P29)</f>
        <v>956.10000000000025</v>
      </c>
    </row>
    <row r="30" spans="1:18" x14ac:dyDescent="0.25">
      <c r="I30" t="s">
        <v>29</v>
      </c>
      <c r="J30">
        <v>3786662</v>
      </c>
      <c r="K30" t="s">
        <v>27</v>
      </c>
      <c r="L30">
        <v>32931</v>
      </c>
      <c r="M30" t="s">
        <v>9</v>
      </c>
      <c r="N30">
        <v>10478</v>
      </c>
      <c r="O30">
        <v>2137674</v>
      </c>
      <c r="P30">
        <v>34.200000000000003</v>
      </c>
      <c r="Q30" s="6">
        <v>43881.822685185187</v>
      </c>
    </row>
    <row r="31" spans="1:18" x14ac:dyDescent="0.25">
      <c r="I31" s="15" t="s">
        <v>29</v>
      </c>
      <c r="J31" s="15">
        <v>3786662</v>
      </c>
      <c r="K31" s="15" t="s">
        <v>27</v>
      </c>
      <c r="L31" s="15">
        <v>32931</v>
      </c>
      <c r="M31" s="15" t="s">
        <v>9</v>
      </c>
      <c r="N31" s="15">
        <v>10478</v>
      </c>
      <c r="O31" s="15">
        <v>2137674</v>
      </c>
      <c r="P31" s="15">
        <v>32.200000000000003</v>
      </c>
      <c r="Q31" s="17">
        <v>43881.822685185187</v>
      </c>
      <c r="R31" s="15">
        <f>SUM(P30:P31)</f>
        <v>66.400000000000006</v>
      </c>
    </row>
    <row r="32" spans="1:18" x14ac:dyDescent="0.25">
      <c r="I32" t="s">
        <v>29</v>
      </c>
      <c r="J32">
        <v>3786662</v>
      </c>
      <c r="K32" t="s">
        <v>27</v>
      </c>
      <c r="L32">
        <v>32931</v>
      </c>
      <c r="M32" t="s">
        <v>9</v>
      </c>
      <c r="N32">
        <v>10478</v>
      </c>
      <c r="O32">
        <v>2137674</v>
      </c>
      <c r="P32">
        <v>32.6</v>
      </c>
      <c r="Q32" s="6">
        <v>43881.896701388891</v>
      </c>
    </row>
    <row r="33" spans="9:18" x14ac:dyDescent="0.25">
      <c r="I33" s="15" t="s">
        <v>29</v>
      </c>
      <c r="J33" s="15">
        <v>3786662</v>
      </c>
      <c r="K33" s="15" t="s">
        <v>27</v>
      </c>
      <c r="L33" s="15">
        <v>32931</v>
      </c>
      <c r="M33" s="15" t="s">
        <v>9</v>
      </c>
      <c r="N33" s="15">
        <v>10478</v>
      </c>
      <c r="O33" s="15">
        <v>2137674</v>
      </c>
      <c r="P33" s="15">
        <v>30.2</v>
      </c>
      <c r="Q33" s="17">
        <v>43881.896701388891</v>
      </c>
      <c r="R33" s="15">
        <f>SUM(P32:P33)</f>
        <v>62.8</v>
      </c>
    </row>
    <row r="34" spans="9:18" x14ac:dyDescent="0.25">
      <c r="I34" t="s">
        <v>29</v>
      </c>
      <c r="J34">
        <v>3786695</v>
      </c>
      <c r="K34" t="s">
        <v>27</v>
      </c>
      <c r="L34">
        <v>32931</v>
      </c>
      <c r="M34" t="s">
        <v>9</v>
      </c>
      <c r="N34">
        <v>10515</v>
      </c>
      <c r="O34">
        <v>2137674</v>
      </c>
      <c r="P34">
        <v>40.4</v>
      </c>
      <c r="Q34" s="6">
        <v>43881.993530092594</v>
      </c>
    </row>
    <row r="35" spans="9:18" x14ac:dyDescent="0.25">
      <c r="I35" s="15" t="s">
        <v>29</v>
      </c>
      <c r="J35" s="15">
        <v>3786695</v>
      </c>
      <c r="K35" s="15" t="s">
        <v>27</v>
      </c>
      <c r="L35" s="15">
        <v>32931</v>
      </c>
      <c r="M35" s="15" t="s">
        <v>9</v>
      </c>
      <c r="N35" s="15">
        <v>10515</v>
      </c>
      <c r="O35" s="15">
        <v>2137674</v>
      </c>
      <c r="P35" s="15">
        <v>37.5</v>
      </c>
      <c r="Q35" s="17">
        <v>43881.993530092594</v>
      </c>
      <c r="R35" s="15">
        <f>SUM(P34:P35)</f>
        <v>77.900000000000006</v>
      </c>
    </row>
    <row r="36" spans="9:18" x14ac:dyDescent="0.25">
      <c r="I36" t="s">
        <v>29</v>
      </c>
      <c r="J36">
        <v>3786695</v>
      </c>
      <c r="K36" t="s">
        <v>27</v>
      </c>
      <c r="L36">
        <v>32931</v>
      </c>
      <c r="M36" t="s">
        <v>9</v>
      </c>
      <c r="N36">
        <v>10515</v>
      </c>
      <c r="O36">
        <v>2137674</v>
      </c>
      <c r="P36">
        <v>40.200000000000003</v>
      </c>
      <c r="Q36" s="6">
        <v>43882.395046296297</v>
      </c>
    </row>
    <row r="37" spans="9:18" x14ac:dyDescent="0.25">
      <c r="I37" t="s">
        <v>29</v>
      </c>
      <c r="J37">
        <v>3786695</v>
      </c>
      <c r="K37" t="s">
        <v>27</v>
      </c>
      <c r="L37">
        <v>32931</v>
      </c>
      <c r="M37" t="s">
        <v>9</v>
      </c>
      <c r="N37">
        <v>10515</v>
      </c>
      <c r="O37">
        <v>2137674</v>
      </c>
      <c r="P37">
        <v>38.1</v>
      </c>
      <c r="Q37" s="6">
        <v>43882.395057870373</v>
      </c>
    </row>
    <row r="38" spans="9:18" x14ac:dyDescent="0.25">
      <c r="I38" t="s">
        <v>29</v>
      </c>
      <c r="J38">
        <v>3786695</v>
      </c>
      <c r="K38" t="s">
        <v>27</v>
      </c>
      <c r="L38">
        <v>32931</v>
      </c>
      <c r="M38" t="s">
        <v>9</v>
      </c>
      <c r="N38">
        <v>10515</v>
      </c>
      <c r="O38">
        <v>2137674</v>
      </c>
      <c r="P38">
        <v>37.5</v>
      </c>
      <c r="Q38" s="6">
        <v>43882.395057870373</v>
      </c>
    </row>
    <row r="39" spans="9:18" x14ac:dyDescent="0.25">
      <c r="I39" t="s">
        <v>29</v>
      </c>
      <c r="J39">
        <v>3786695</v>
      </c>
      <c r="K39" t="s">
        <v>27</v>
      </c>
      <c r="L39">
        <v>32931</v>
      </c>
      <c r="M39" t="s">
        <v>9</v>
      </c>
      <c r="N39">
        <v>10515</v>
      </c>
      <c r="O39">
        <v>2137674</v>
      </c>
      <c r="P39">
        <v>41.2</v>
      </c>
      <c r="Q39" s="6">
        <v>43882.395057870373</v>
      </c>
    </row>
    <row r="40" spans="9:18" x14ac:dyDescent="0.25">
      <c r="I40" t="s">
        <v>29</v>
      </c>
      <c r="J40">
        <v>3786695</v>
      </c>
      <c r="K40" t="s">
        <v>27</v>
      </c>
      <c r="L40">
        <v>32931</v>
      </c>
      <c r="M40" t="s">
        <v>9</v>
      </c>
      <c r="N40">
        <v>10515</v>
      </c>
      <c r="O40">
        <v>2137674</v>
      </c>
      <c r="P40">
        <v>40</v>
      </c>
      <c r="Q40" s="6">
        <v>43882.395069444443</v>
      </c>
    </row>
    <row r="41" spans="9:18" x14ac:dyDescent="0.25">
      <c r="I41" t="s">
        <v>29</v>
      </c>
      <c r="J41">
        <v>3786695</v>
      </c>
      <c r="K41" t="s">
        <v>27</v>
      </c>
      <c r="L41">
        <v>32931</v>
      </c>
      <c r="M41" t="s">
        <v>9</v>
      </c>
      <c r="N41">
        <v>10515</v>
      </c>
      <c r="O41">
        <v>2137674</v>
      </c>
      <c r="P41">
        <v>38.6</v>
      </c>
      <c r="Q41" s="6">
        <v>43882.395069444443</v>
      </c>
    </row>
    <row r="42" spans="9:18" x14ac:dyDescent="0.25">
      <c r="I42" s="15" t="s">
        <v>29</v>
      </c>
      <c r="J42" s="15">
        <v>3786695</v>
      </c>
      <c r="K42" s="15" t="s">
        <v>27</v>
      </c>
      <c r="L42" s="15">
        <v>32931</v>
      </c>
      <c r="M42" s="15" t="s">
        <v>9</v>
      </c>
      <c r="N42" s="15">
        <v>10515</v>
      </c>
      <c r="O42" s="15">
        <v>2137674</v>
      </c>
      <c r="P42" s="15">
        <v>36.1</v>
      </c>
      <c r="Q42" s="17">
        <v>43882.395069444443</v>
      </c>
      <c r="R42" s="15">
        <f>SUM(P36:P42)</f>
        <v>271.7</v>
      </c>
    </row>
    <row r="43" spans="9:18" x14ac:dyDescent="0.25">
      <c r="I43" s="15" t="s">
        <v>29</v>
      </c>
      <c r="J43" s="15">
        <v>3786695</v>
      </c>
      <c r="K43" s="15" t="s">
        <v>27</v>
      </c>
      <c r="L43" s="15">
        <v>32931</v>
      </c>
      <c r="M43" s="15" t="s">
        <v>9</v>
      </c>
      <c r="N43" s="15">
        <v>10515</v>
      </c>
      <c r="O43" s="15">
        <v>2137674</v>
      </c>
      <c r="P43" s="15">
        <v>47.3</v>
      </c>
      <c r="Q43" s="17">
        <v>43882.469918981478</v>
      </c>
      <c r="R43" s="15">
        <v>47.3</v>
      </c>
    </row>
    <row r="44" spans="9:18" x14ac:dyDescent="0.25">
      <c r="I44" s="15" t="s">
        <v>29</v>
      </c>
      <c r="J44" s="15">
        <v>3786695</v>
      </c>
      <c r="K44" s="15" t="s">
        <v>27</v>
      </c>
      <c r="L44" s="15">
        <v>32941</v>
      </c>
      <c r="M44" s="15" t="s">
        <v>9</v>
      </c>
      <c r="N44" s="15">
        <v>10515</v>
      </c>
      <c r="O44" s="15">
        <v>2137674</v>
      </c>
      <c r="P44" s="15">
        <v>17.95</v>
      </c>
      <c r="Q44" s="17">
        <v>43882.482199074075</v>
      </c>
      <c r="R44" s="15">
        <v>17.95</v>
      </c>
    </row>
    <row r="45" spans="9:18" x14ac:dyDescent="0.25">
      <c r="I45" s="15" t="s">
        <v>29</v>
      </c>
      <c r="J45" s="15">
        <v>3786720</v>
      </c>
      <c r="K45" s="15" t="s">
        <v>27</v>
      </c>
      <c r="L45" s="15">
        <v>32941</v>
      </c>
      <c r="M45" s="15" t="s">
        <v>9</v>
      </c>
      <c r="N45" s="15">
        <v>10559</v>
      </c>
      <c r="O45" s="15">
        <v>2137674</v>
      </c>
      <c r="P45" s="15">
        <v>23.65</v>
      </c>
      <c r="Q45" s="17">
        <v>43882.482499999998</v>
      </c>
      <c r="R45" s="15">
        <v>23.65</v>
      </c>
    </row>
    <row r="46" spans="9:18" x14ac:dyDescent="0.25">
      <c r="I46" t="s">
        <v>29</v>
      </c>
      <c r="J46">
        <v>3786720</v>
      </c>
      <c r="K46" t="s">
        <v>27</v>
      </c>
      <c r="L46">
        <v>32941</v>
      </c>
      <c r="M46" t="s">
        <v>9</v>
      </c>
      <c r="N46">
        <v>10559</v>
      </c>
      <c r="O46">
        <v>2137674</v>
      </c>
      <c r="P46">
        <v>38.700000000000003</v>
      </c>
      <c r="Q46" s="6">
        <v>43882.53292824074</v>
      </c>
    </row>
    <row r="47" spans="9:18" x14ac:dyDescent="0.25">
      <c r="I47" t="s">
        <v>29</v>
      </c>
      <c r="J47">
        <v>3786720</v>
      </c>
      <c r="K47" t="s">
        <v>27</v>
      </c>
      <c r="L47">
        <v>32941</v>
      </c>
      <c r="M47" t="s">
        <v>9</v>
      </c>
      <c r="N47">
        <v>10559</v>
      </c>
      <c r="O47">
        <v>2137674</v>
      </c>
      <c r="P47">
        <v>42.6</v>
      </c>
      <c r="Q47" s="6">
        <v>43882.53292824074</v>
      </c>
    </row>
    <row r="48" spans="9:18" x14ac:dyDescent="0.25">
      <c r="I48" t="s">
        <v>29</v>
      </c>
      <c r="J48">
        <v>3786720</v>
      </c>
      <c r="K48" t="s">
        <v>27</v>
      </c>
      <c r="L48">
        <v>32941</v>
      </c>
      <c r="M48" t="s">
        <v>9</v>
      </c>
      <c r="N48">
        <v>10559</v>
      </c>
      <c r="O48">
        <v>2137674</v>
      </c>
      <c r="P48">
        <v>39.6</v>
      </c>
      <c r="Q48" s="6">
        <v>43882.532939814817</v>
      </c>
    </row>
    <row r="49" spans="9:19" x14ac:dyDescent="0.25">
      <c r="I49" t="s">
        <v>29</v>
      </c>
      <c r="J49">
        <v>3786720</v>
      </c>
      <c r="K49" t="s">
        <v>27</v>
      </c>
      <c r="L49">
        <v>32941</v>
      </c>
      <c r="M49" t="s">
        <v>9</v>
      </c>
      <c r="N49">
        <v>10559</v>
      </c>
      <c r="O49">
        <v>2137674</v>
      </c>
      <c r="P49">
        <v>42.3</v>
      </c>
      <c r="Q49" s="6">
        <v>43882.532939814817</v>
      </c>
    </row>
    <row r="50" spans="9:19" x14ac:dyDescent="0.25">
      <c r="I50" t="s">
        <v>29</v>
      </c>
      <c r="J50">
        <v>3786720</v>
      </c>
      <c r="K50" t="s">
        <v>27</v>
      </c>
      <c r="L50">
        <v>32941</v>
      </c>
      <c r="M50" t="s">
        <v>9</v>
      </c>
      <c r="N50">
        <v>10559</v>
      </c>
      <c r="O50">
        <v>2137674</v>
      </c>
      <c r="P50">
        <v>43.9</v>
      </c>
      <c r="Q50" s="6">
        <v>43882.532939814817</v>
      </c>
    </row>
    <row r="51" spans="9:19" x14ac:dyDescent="0.25">
      <c r="I51" t="s">
        <v>29</v>
      </c>
      <c r="J51">
        <v>3786720</v>
      </c>
      <c r="K51" t="s">
        <v>27</v>
      </c>
      <c r="L51">
        <v>32941</v>
      </c>
      <c r="M51" t="s">
        <v>9</v>
      </c>
      <c r="N51">
        <v>10559</v>
      </c>
      <c r="O51">
        <v>2137674</v>
      </c>
      <c r="P51">
        <v>39.200000000000003</v>
      </c>
      <c r="Q51" s="6">
        <v>43882.532951388886</v>
      </c>
    </row>
    <row r="52" spans="9:19" x14ac:dyDescent="0.25">
      <c r="I52" t="s">
        <v>29</v>
      </c>
      <c r="J52">
        <v>3786720</v>
      </c>
      <c r="K52" t="s">
        <v>27</v>
      </c>
      <c r="L52">
        <v>32941</v>
      </c>
      <c r="M52" t="s">
        <v>9</v>
      </c>
      <c r="N52">
        <v>10559</v>
      </c>
      <c r="O52">
        <v>2137674</v>
      </c>
      <c r="P52">
        <v>43.3</v>
      </c>
      <c r="Q52" s="6">
        <v>43882.532951388886</v>
      </c>
    </row>
    <row r="53" spans="9:19" x14ac:dyDescent="0.25">
      <c r="I53" s="15" t="s">
        <v>29</v>
      </c>
      <c r="J53" s="15">
        <v>3786720</v>
      </c>
      <c r="K53" s="15" t="s">
        <v>27</v>
      </c>
      <c r="L53" s="15">
        <v>32941</v>
      </c>
      <c r="M53" s="15" t="s">
        <v>9</v>
      </c>
      <c r="N53" s="15">
        <v>10559</v>
      </c>
      <c r="O53" s="15">
        <v>2137674</v>
      </c>
      <c r="P53" s="15">
        <v>43</v>
      </c>
      <c r="Q53" s="17">
        <v>43882.532951388886</v>
      </c>
      <c r="R53" s="15">
        <f>SUM(P46:P53)</f>
        <v>332.6</v>
      </c>
    </row>
    <row r="54" spans="9:19" x14ac:dyDescent="0.25">
      <c r="I54" s="15" t="s">
        <v>29</v>
      </c>
      <c r="J54" s="15">
        <v>3786720</v>
      </c>
      <c r="K54" s="15" t="s">
        <v>27</v>
      </c>
      <c r="L54" s="15">
        <v>32941</v>
      </c>
      <c r="M54" s="15" t="s">
        <v>9</v>
      </c>
      <c r="N54" s="15">
        <v>10559</v>
      </c>
      <c r="O54" s="15">
        <v>2137674</v>
      </c>
      <c r="P54" s="15">
        <v>40.4</v>
      </c>
      <c r="Q54" s="17">
        <v>43882.655995370369</v>
      </c>
      <c r="R54" s="15">
        <v>40.4</v>
      </c>
    </row>
    <row r="55" spans="9:19" x14ac:dyDescent="0.25">
      <c r="I55" t="s">
        <v>29</v>
      </c>
      <c r="J55">
        <v>3786484</v>
      </c>
      <c r="K55" t="s">
        <v>27</v>
      </c>
      <c r="L55">
        <v>32891</v>
      </c>
      <c r="M55" t="s">
        <v>9</v>
      </c>
      <c r="N55">
        <v>10368</v>
      </c>
      <c r="O55">
        <v>2137674</v>
      </c>
      <c r="P55">
        <v>30.3</v>
      </c>
      <c r="Q55" s="6">
        <v>43882.678518518522</v>
      </c>
    </row>
    <row r="56" spans="9:19" x14ac:dyDescent="0.25">
      <c r="I56" t="s">
        <v>29</v>
      </c>
      <c r="J56">
        <v>3786484</v>
      </c>
      <c r="K56" t="s">
        <v>27</v>
      </c>
      <c r="L56">
        <v>32891</v>
      </c>
      <c r="M56" t="s">
        <v>9</v>
      </c>
      <c r="N56">
        <v>10368</v>
      </c>
      <c r="O56">
        <v>2137674</v>
      </c>
      <c r="P56">
        <v>34.200000000000003</v>
      </c>
      <c r="Q56" s="6">
        <v>43882.678518518522</v>
      </c>
    </row>
    <row r="57" spans="9:19" x14ac:dyDescent="0.25">
      <c r="I57" s="15" t="s">
        <v>29</v>
      </c>
      <c r="J57" s="15">
        <v>3786484</v>
      </c>
      <c r="K57" s="15" t="s">
        <v>27</v>
      </c>
      <c r="L57" s="15">
        <v>32891</v>
      </c>
      <c r="M57" s="15" t="s">
        <v>9</v>
      </c>
      <c r="N57" s="15">
        <v>10368</v>
      </c>
      <c r="O57" s="15">
        <v>2137674</v>
      </c>
      <c r="P57" s="15">
        <v>32.6</v>
      </c>
      <c r="Q57" s="17">
        <v>43882.678530092591</v>
      </c>
      <c r="R57" s="15">
        <f>SUM(P55:P57)</f>
        <v>97.1</v>
      </c>
    </row>
    <row r="58" spans="9:19" x14ac:dyDescent="0.25">
      <c r="I58" t="s">
        <v>29</v>
      </c>
      <c r="J58">
        <v>3786720</v>
      </c>
      <c r="K58" t="s">
        <v>27</v>
      </c>
      <c r="L58">
        <v>32941</v>
      </c>
      <c r="M58" t="s">
        <v>9</v>
      </c>
      <c r="N58">
        <v>10559</v>
      </c>
      <c r="O58">
        <v>2137674</v>
      </c>
      <c r="P58">
        <v>41.8</v>
      </c>
      <c r="Q58" s="6">
        <v>43882.997627314813</v>
      </c>
    </row>
    <row r="59" spans="9:19" x14ac:dyDescent="0.25">
      <c r="I59" s="15" t="s">
        <v>29</v>
      </c>
      <c r="J59" s="15">
        <v>3786720</v>
      </c>
      <c r="K59" s="15" t="s">
        <v>27</v>
      </c>
      <c r="L59" s="15">
        <v>32931</v>
      </c>
      <c r="M59" s="15" t="s">
        <v>9</v>
      </c>
      <c r="N59" s="15">
        <v>10559</v>
      </c>
      <c r="O59" s="15">
        <v>2137674</v>
      </c>
      <c r="P59" s="15">
        <v>23.65</v>
      </c>
      <c r="Q59" s="17">
        <v>43882.997627314813</v>
      </c>
      <c r="R59" s="15">
        <f>SUM(P58:P59)</f>
        <v>65.449999999999989</v>
      </c>
      <c r="S59" s="21">
        <f>SUM(G23,G18)</f>
        <v>65.449999999999989</v>
      </c>
    </row>
    <row r="60" spans="9:19" x14ac:dyDescent="0.25">
      <c r="I60" s="15" t="s">
        <v>29</v>
      </c>
      <c r="J60" s="15">
        <v>3786720</v>
      </c>
      <c r="K60" s="15" t="s">
        <v>27</v>
      </c>
      <c r="L60" s="15">
        <v>32941</v>
      </c>
      <c r="M60" s="15" t="s">
        <v>9</v>
      </c>
      <c r="N60" s="15">
        <v>10559</v>
      </c>
      <c r="O60" s="15">
        <v>2137674</v>
      </c>
      <c r="P60" s="15">
        <v>43.2</v>
      </c>
      <c r="Q60" s="17">
        <v>43882.998344907406</v>
      </c>
      <c r="R60" s="15">
        <v>43.2</v>
      </c>
    </row>
    <row r="61" spans="9:19" x14ac:dyDescent="0.25">
      <c r="I61" s="15" t="s">
        <v>29</v>
      </c>
      <c r="J61" s="15">
        <v>3786461</v>
      </c>
      <c r="K61" s="15" t="s">
        <v>27</v>
      </c>
      <c r="L61" s="15">
        <v>32941</v>
      </c>
      <c r="M61" s="15" t="s">
        <v>9</v>
      </c>
      <c r="N61" s="15">
        <v>10339</v>
      </c>
      <c r="O61" s="15">
        <v>2137674</v>
      </c>
      <c r="P61" s="15">
        <v>42.3</v>
      </c>
      <c r="Q61" s="17">
        <v>43883.006631944445</v>
      </c>
      <c r="R61" s="15">
        <v>42.3</v>
      </c>
    </row>
    <row r="62" spans="9:19" x14ac:dyDescent="0.25">
      <c r="I62" t="s">
        <v>29</v>
      </c>
      <c r="J62">
        <v>3786484</v>
      </c>
      <c r="K62" t="s">
        <v>27</v>
      </c>
      <c r="L62">
        <v>32851</v>
      </c>
      <c r="M62" t="s">
        <v>9</v>
      </c>
      <c r="N62">
        <v>10368</v>
      </c>
      <c r="O62">
        <v>2137674</v>
      </c>
      <c r="P62">
        <v>41.6</v>
      </c>
      <c r="Q62" s="6">
        <v>43885.276956018519</v>
      </c>
    </row>
    <row r="63" spans="9:19" x14ac:dyDescent="0.25">
      <c r="I63" s="15" t="s">
        <v>29</v>
      </c>
      <c r="J63" s="15">
        <v>3786484</v>
      </c>
      <c r="K63" s="15" t="s">
        <v>27</v>
      </c>
      <c r="L63" s="15">
        <v>32851</v>
      </c>
      <c r="M63" s="15" t="s">
        <v>9</v>
      </c>
      <c r="N63" s="15">
        <v>10368</v>
      </c>
      <c r="O63" s="15">
        <v>2137674</v>
      </c>
      <c r="P63" s="15">
        <v>41.5</v>
      </c>
      <c r="Q63" s="17">
        <v>43885.276956018519</v>
      </c>
      <c r="R63" s="15">
        <f>SUM(P62:P63)</f>
        <v>83.1</v>
      </c>
    </row>
    <row r="64" spans="9:19" x14ac:dyDescent="0.25">
      <c r="I64" t="s">
        <v>29</v>
      </c>
      <c r="J64">
        <v>3786484</v>
      </c>
      <c r="K64" t="s">
        <v>27</v>
      </c>
      <c r="L64">
        <v>32941</v>
      </c>
      <c r="M64" t="s">
        <v>9</v>
      </c>
      <c r="N64">
        <v>10368</v>
      </c>
      <c r="O64">
        <v>2137674</v>
      </c>
      <c r="P64">
        <v>43.2</v>
      </c>
      <c r="Q64" s="6">
        <v>43885.282534722224</v>
      </c>
    </row>
    <row r="65" spans="9:18" x14ac:dyDescent="0.25">
      <c r="I65" s="15" t="s">
        <v>29</v>
      </c>
      <c r="J65" s="15">
        <v>3786484</v>
      </c>
      <c r="K65" s="15" t="s">
        <v>27</v>
      </c>
      <c r="L65" s="15">
        <v>32941</v>
      </c>
      <c r="M65" s="15" t="s">
        <v>9</v>
      </c>
      <c r="N65" s="15">
        <v>10368</v>
      </c>
      <c r="O65" s="15">
        <v>2137674</v>
      </c>
      <c r="P65" s="15">
        <v>41.8</v>
      </c>
      <c r="Q65" s="17">
        <v>43885.282546296294</v>
      </c>
      <c r="R65" s="15">
        <f>SUM(P64:P65)</f>
        <v>85</v>
      </c>
    </row>
    <row r="66" spans="9:18" x14ac:dyDescent="0.25">
      <c r="I66" t="s">
        <v>29</v>
      </c>
      <c r="J66">
        <v>3786720</v>
      </c>
      <c r="K66" t="s">
        <v>27</v>
      </c>
      <c r="L66">
        <v>32941</v>
      </c>
      <c r="M66" t="s">
        <v>9</v>
      </c>
      <c r="N66">
        <v>10559</v>
      </c>
      <c r="O66">
        <v>2137674</v>
      </c>
      <c r="P66">
        <v>43.8</v>
      </c>
      <c r="Q66" s="6">
        <v>43885.401319444441</v>
      </c>
    </row>
    <row r="67" spans="9:18" x14ac:dyDescent="0.25">
      <c r="I67" t="s">
        <v>29</v>
      </c>
      <c r="J67">
        <v>3786720</v>
      </c>
      <c r="K67" t="s">
        <v>27</v>
      </c>
      <c r="L67">
        <v>32941</v>
      </c>
      <c r="M67" t="s">
        <v>9</v>
      </c>
      <c r="N67">
        <v>10559</v>
      </c>
      <c r="O67">
        <v>2137674</v>
      </c>
      <c r="P67">
        <v>45</v>
      </c>
      <c r="Q67" s="6">
        <v>43885.401319444441</v>
      </c>
    </row>
    <row r="68" spans="9:18" x14ac:dyDescent="0.25">
      <c r="I68" s="15" t="s">
        <v>29</v>
      </c>
      <c r="J68" s="15">
        <v>3786720</v>
      </c>
      <c r="K68" s="15" t="s">
        <v>27</v>
      </c>
      <c r="L68" s="15">
        <v>32941</v>
      </c>
      <c r="M68" s="15" t="s">
        <v>9</v>
      </c>
      <c r="N68" s="15">
        <v>10559</v>
      </c>
      <c r="O68" s="15">
        <v>2137674</v>
      </c>
      <c r="P68" s="15">
        <v>42.8</v>
      </c>
      <c r="Q68" s="17">
        <v>43885.401319444441</v>
      </c>
      <c r="R68" s="15">
        <f>SUM(P66:P68)</f>
        <v>131.6</v>
      </c>
    </row>
    <row r="69" spans="9:18" x14ac:dyDescent="0.25">
      <c r="I69" t="s">
        <v>29</v>
      </c>
      <c r="J69">
        <v>3786808</v>
      </c>
      <c r="K69" t="s">
        <v>27</v>
      </c>
      <c r="L69">
        <v>32941</v>
      </c>
      <c r="M69" t="s">
        <v>9</v>
      </c>
      <c r="N69">
        <v>10599</v>
      </c>
      <c r="O69">
        <v>2137674</v>
      </c>
      <c r="P69">
        <v>42.2</v>
      </c>
      <c r="Q69" s="6">
        <v>43885.450555555559</v>
      </c>
    </row>
    <row r="70" spans="9:18" x14ac:dyDescent="0.25">
      <c r="I70" t="s">
        <v>29</v>
      </c>
      <c r="J70">
        <v>3786808</v>
      </c>
      <c r="K70" t="s">
        <v>27</v>
      </c>
      <c r="L70">
        <v>32941</v>
      </c>
      <c r="M70" t="s">
        <v>9</v>
      </c>
      <c r="N70">
        <v>10599</v>
      </c>
      <c r="O70">
        <v>2137674</v>
      </c>
      <c r="P70">
        <v>43.9</v>
      </c>
      <c r="Q70" s="6">
        <v>43885.450555555559</v>
      </c>
    </row>
    <row r="71" spans="9:18" x14ac:dyDescent="0.25">
      <c r="I71" t="s">
        <v>29</v>
      </c>
      <c r="J71">
        <v>3786808</v>
      </c>
      <c r="K71" t="s">
        <v>27</v>
      </c>
      <c r="L71">
        <v>32941</v>
      </c>
      <c r="M71" t="s">
        <v>9</v>
      </c>
      <c r="N71">
        <v>10599</v>
      </c>
      <c r="O71">
        <v>2137674</v>
      </c>
      <c r="P71">
        <v>45.9</v>
      </c>
      <c r="Q71" s="6">
        <v>43885.450555555559</v>
      </c>
    </row>
    <row r="72" spans="9:18" x14ac:dyDescent="0.25">
      <c r="I72" t="s">
        <v>29</v>
      </c>
      <c r="J72">
        <v>3786808</v>
      </c>
      <c r="K72" t="s">
        <v>27</v>
      </c>
      <c r="L72">
        <v>32941</v>
      </c>
      <c r="M72" t="s">
        <v>9</v>
      </c>
      <c r="N72">
        <v>10599</v>
      </c>
      <c r="O72">
        <v>2137674</v>
      </c>
      <c r="P72">
        <v>41</v>
      </c>
      <c r="Q72" s="6">
        <v>43885.450567129628</v>
      </c>
    </row>
    <row r="73" spans="9:18" x14ac:dyDescent="0.25">
      <c r="I73" t="s">
        <v>29</v>
      </c>
      <c r="J73">
        <v>3786808</v>
      </c>
      <c r="K73" t="s">
        <v>27</v>
      </c>
      <c r="L73">
        <v>32941</v>
      </c>
      <c r="M73" t="s">
        <v>9</v>
      </c>
      <c r="N73">
        <v>10599</v>
      </c>
      <c r="O73">
        <v>2137674</v>
      </c>
      <c r="P73">
        <v>41.4</v>
      </c>
      <c r="Q73" s="6">
        <v>43885.450567129628</v>
      </c>
    </row>
    <row r="74" spans="9:18" x14ac:dyDescent="0.25">
      <c r="I74" s="15" t="s">
        <v>29</v>
      </c>
      <c r="J74" s="15">
        <v>3786808</v>
      </c>
      <c r="K74" s="15" t="s">
        <v>27</v>
      </c>
      <c r="L74" s="15">
        <v>32941</v>
      </c>
      <c r="M74" s="15" t="s">
        <v>9</v>
      </c>
      <c r="N74" s="15">
        <v>10599</v>
      </c>
      <c r="O74" s="15">
        <v>2137674</v>
      </c>
      <c r="P74" s="15">
        <v>40.5</v>
      </c>
      <c r="Q74" s="17">
        <v>43885.450567129628</v>
      </c>
      <c r="R74" s="15">
        <f>SUM(P69:P74)</f>
        <v>254.9</v>
      </c>
    </row>
    <row r="75" spans="9:18" x14ac:dyDescent="0.25">
      <c r="I75" t="s">
        <v>29</v>
      </c>
      <c r="J75">
        <v>3786720</v>
      </c>
      <c r="K75" t="s">
        <v>27</v>
      </c>
      <c r="L75">
        <v>32941</v>
      </c>
      <c r="M75" t="s">
        <v>9</v>
      </c>
      <c r="N75">
        <v>10559</v>
      </c>
      <c r="O75">
        <v>2137674</v>
      </c>
      <c r="P75">
        <v>41.5</v>
      </c>
      <c r="Q75" s="6">
        <v>43885.474930555552</v>
      </c>
    </row>
    <row r="76" spans="9:18" x14ac:dyDescent="0.25">
      <c r="I76" s="15" t="s">
        <v>29</v>
      </c>
      <c r="J76" s="15">
        <v>3786720</v>
      </c>
      <c r="K76" s="15" t="s">
        <v>27</v>
      </c>
      <c r="L76" s="15">
        <v>32941</v>
      </c>
      <c r="M76" s="15" t="s">
        <v>9</v>
      </c>
      <c r="N76" s="15">
        <v>10559</v>
      </c>
      <c r="O76" s="15">
        <v>2137674</v>
      </c>
      <c r="P76" s="15">
        <v>42.9</v>
      </c>
      <c r="Q76" s="17">
        <v>43885.474930555552</v>
      </c>
      <c r="R76" s="15">
        <f>SUM(P75:P76)</f>
        <v>84.4</v>
      </c>
    </row>
    <row r="77" spans="9:18" x14ac:dyDescent="0.25">
      <c r="I77" s="15" t="s">
        <v>29</v>
      </c>
      <c r="J77" s="15">
        <v>3786599</v>
      </c>
      <c r="K77" s="15" t="s">
        <v>27</v>
      </c>
      <c r="L77" s="15">
        <v>32901</v>
      </c>
      <c r="M77" s="15" t="s">
        <v>9</v>
      </c>
      <c r="N77" s="15">
        <v>10465</v>
      </c>
      <c r="O77" s="15">
        <v>2137674</v>
      </c>
      <c r="P77" s="15">
        <v>40.299999999999997</v>
      </c>
      <c r="Q77" s="17">
        <v>43885.475208333337</v>
      </c>
      <c r="R77" s="15">
        <v>40.299999999999997</v>
      </c>
    </row>
    <row r="78" spans="9:18" x14ac:dyDescent="0.25">
      <c r="I78" t="s">
        <v>29</v>
      </c>
      <c r="J78">
        <v>3786808</v>
      </c>
      <c r="K78" t="s">
        <v>27</v>
      </c>
      <c r="L78">
        <v>32941</v>
      </c>
      <c r="M78" t="s">
        <v>9</v>
      </c>
      <c r="N78">
        <v>10599</v>
      </c>
      <c r="O78">
        <v>2137674</v>
      </c>
      <c r="P78">
        <v>39.6</v>
      </c>
      <c r="Q78" s="6">
        <v>43885.672002314815</v>
      </c>
    </row>
    <row r="79" spans="9:18" x14ac:dyDescent="0.25">
      <c r="I79" t="s">
        <v>29</v>
      </c>
      <c r="J79">
        <v>3786808</v>
      </c>
      <c r="K79" t="s">
        <v>27</v>
      </c>
      <c r="L79">
        <v>32941</v>
      </c>
      <c r="M79" t="s">
        <v>9</v>
      </c>
      <c r="N79">
        <v>10599</v>
      </c>
      <c r="O79">
        <v>2137674</v>
      </c>
      <c r="P79">
        <v>40</v>
      </c>
      <c r="Q79" s="6">
        <v>43885.672002314815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6"/>
  <sheetViews>
    <sheetView topLeftCell="A10" workbookViewId="0">
      <selection activeCell="H16" sqref="H16"/>
    </sheetView>
  </sheetViews>
  <sheetFormatPr defaultRowHeight="15" x14ac:dyDescent="0.25"/>
  <cols>
    <col min="5" max="5" width="11.42578125" bestFit="1" customWidth="1"/>
    <col min="12" max="12" width="6" bestFit="1" customWidth="1"/>
    <col min="16" max="16" width="5" bestFit="1" customWidth="1"/>
    <col min="17" max="17" width="14.85546875" bestFit="1" customWidth="1"/>
  </cols>
  <sheetData>
    <row r="2" spans="1:18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37</v>
      </c>
    </row>
    <row r="3" spans="1:18" x14ac:dyDescent="0.25">
      <c r="A3" s="15">
        <v>20200221</v>
      </c>
      <c r="B3" s="15">
        <v>233007</v>
      </c>
      <c r="C3" s="15">
        <v>4370344</v>
      </c>
      <c r="D3" s="15" t="s">
        <v>0</v>
      </c>
      <c r="E3" s="15">
        <v>32911</v>
      </c>
      <c r="F3" s="15" t="s">
        <v>13</v>
      </c>
      <c r="G3" s="15">
        <v>249.1</v>
      </c>
      <c r="I3" t="s">
        <v>29</v>
      </c>
      <c r="J3">
        <v>3786567</v>
      </c>
      <c r="K3" t="s">
        <v>27</v>
      </c>
      <c r="L3">
        <v>32911</v>
      </c>
      <c r="M3" t="s">
        <v>13</v>
      </c>
      <c r="N3">
        <v>10446</v>
      </c>
      <c r="O3">
        <v>2137674</v>
      </c>
      <c r="P3">
        <v>42.7</v>
      </c>
      <c r="Q3" s="6">
        <v>43881.643877314818</v>
      </c>
    </row>
    <row r="4" spans="1:18" x14ac:dyDescent="0.25">
      <c r="A4" s="15">
        <v>20200224</v>
      </c>
      <c r="B4" s="15">
        <v>90556</v>
      </c>
      <c r="C4" s="15">
        <v>4371215</v>
      </c>
      <c r="D4" s="15" t="s">
        <v>0</v>
      </c>
      <c r="E4" s="15">
        <v>32941</v>
      </c>
      <c r="F4" s="15" t="s">
        <v>13</v>
      </c>
      <c r="G4" s="15">
        <v>128.4</v>
      </c>
      <c r="I4" t="s">
        <v>29</v>
      </c>
      <c r="J4">
        <v>3786567</v>
      </c>
      <c r="K4" t="s">
        <v>27</v>
      </c>
      <c r="L4">
        <v>32911</v>
      </c>
      <c r="M4" t="s">
        <v>13</v>
      </c>
      <c r="N4">
        <v>10446</v>
      </c>
      <c r="O4">
        <v>2137674</v>
      </c>
      <c r="P4">
        <v>37.700000000000003</v>
      </c>
      <c r="Q4" s="6">
        <v>43881.643877314818</v>
      </c>
    </row>
    <row r="5" spans="1:18" x14ac:dyDescent="0.25">
      <c r="A5" s="15">
        <v>20200220</v>
      </c>
      <c r="B5" s="15">
        <v>221457</v>
      </c>
      <c r="C5" s="15">
        <v>4368153</v>
      </c>
      <c r="D5" s="15" t="s">
        <v>0</v>
      </c>
      <c r="E5" s="15">
        <v>32891</v>
      </c>
      <c r="F5" s="15" t="s">
        <v>13</v>
      </c>
      <c r="G5" s="15">
        <v>64.5</v>
      </c>
      <c r="I5" t="s">
        <v>29</v>
      </c>
      <c r="J5">
        <v>3786567</v>
      </c>
      <c r="K5" t="s">
        <v>27</v>
      </c>
      <c r="L5">
        <v>32911</v>
      </c>
      <c r="M5" t="s">
        <v>13</v>
      </c>
      <c r="N5">
        <v>10446</v>
      </c>
      <c r="O5">
        <v>2137674</v>
      </c>
      <c r="P5">
        <v>40.200000000000003</v>
      </c>
      <c r="Q5" s="6">
        <v>43881.643888888888</v>
      </c>
    </row>
    <row r="6" spans="1:18" x14ac:dyDescent="0.25">
      <c r="A6" s="15">
        <v>20200224</v>
      </c>
      <c r="B6" s="15">
        <v>110639</v>
      </c>
      <c r="C6" s="15">
        <v>4371302</v>
      </c>
      <c r="D6" s="15" t="s">
        <v>0</v>
      </c>
      <c r="E6" s="15">
        <v>32941</v>
      </c>
      <c r="F6" s="15" t="s">
        <v>13</v>
      </c>
      <c r="G6" s="15">
        <v>84.1</v>
      </c>
      <c r="I6" s="15" t="s">
        <v>29</v>
      </c>
      <c r="J6" s="15">
        <v>3786567</v>
      </c>
      <c r="K6" s="15" t="s">
        <v>27</v>
      </c>
      <c r="L6" s="15">
        <v>32911</v>
      </c>
      <c r="M6" s="15" t="s">
        <v>13</v>
      </c>
      <c r="N6" s="15">
        <v>10446</v>
      </c>
      <c r="O6" s="15">
        <v>2137674</v>
      </c>
      <c r="P6" s="15">
        <v>41.2</v>
      </c>
      <c r="Q6" s="17">
        <v>43881.643888888888</v>
      </c>
      <c r="R6" s="15">
        <f>SUM(P3:P6)</f>
        <v>161.80000000000001</v>
      </c>
    </row>
    <row r="7" spans="1:18" x14ac:dyDescent="0.25">
      <c r="A7" s="15">
        <v>20200221</v>
      </c>
      <c r="B7" s="15">
        <v>194707</v>
      </c>
      <c r="C7" s="15">
        <v>4370092</v>
      </c>
      <c r="D7" s="15" t="s">
        <v>0</v>
      </c>
      <c r="E7" s="15">
        <v>32941</v>
      </c>
      <c r="F7" s="15" t="s">
        <v>13</v>
      </c>
      <c r="G7" s="15">
        <v>170.6</v>
      </c>
      <c r="I7" t="s">
        <v>29</v>
      </c>
      <c r="J7">
        <v>3786639</v>
      </c>
      <c r="K7" t="s">
        <v>27</v>
      </c>
      <c r="L7">
        <v>32891</v>
      </c>
      <c r="M7" t="s">
        <v>13</v>
      </c>
      <c r="N7">
        <v>10485</v>
      </c>
      <c r="O7">
        <v>2137674</v>
      </c>
      <c r="P7">
        <v>35.6</v>
      </c>
      <c r="Q7" s="6">
        <v>43881.927037037036</v>
      </c>
    </row>
    <row r="8" spans="1:18" x14ac:dyDescent="0.25">
      <c r="A8" s="15">
        <v>20200221</v>
      </c>
      <c r="B8" s="15">
        <v>100038</v>
      </c>
      <c r="C8" s="15">
        <v>4369528</v>
      </c>
      <c r="D8" s="15" t="s">
        <v>0</v>
      </c>
      <c r="E8" s="15">
        <v>32931</v>
      </c>
      <c r="F8" s="15" t="s">
        <v>13</v>
      </c>
      <c r="G8" s="15">
        <v>336.9</v>
      </c>
      <c r="I8" s="15" t="s">
        <v>29</v>
      </c>
      <c r="J8" s="15">
        <v>3786639</v>
      </c>
      <c r="K8" s="15" t="s">
        <v>27</v>
      </c>
      <c r="L8" s="15">
        <v>32891</v>
      </c>
      <c r="M8" s="15" t="s">
        <v>13</v>
      </c>
      <c r="N8" s="15">
        <v>10485</v>
      </c>
      <c r="O8" s="15">
        <v>2137674</v>
      </c>
      <c r="P8" s="15">
        <v>28.9</v>
      </c>
      <c r="Q8" s="17">
        <v>43881.927037037036</v>
      </c>
      <c r="R8" s="15">
        <f>SUM(P7:P8)</f>
        <v>64.5</v>
      </c>
    </row>
    <row r="9" spans="1:18" x14ac:dyDescent="0.25">
      <c r="A9" s="15">
        <v>20200221</v>
      </c>
      <c r="B9" s="15">
        <v>182934</v>
      </c>
      <c r="C9" s="15">
        <v>4370048</v>
      </c>
      <c r="D9" s="15" t="s">
        <v>0</v>
      </c>
      <c r="E9" s="15">
        <v>32941</v>
      </c>
      <c r="F9" s="15" t="s">
        <v>13</v>
      </c>
      <c r="G9" s="15">
        <v>341.1</v>
      </c>
      <c r="I9" t="s">
        <v>29</v>
      </c>
      <c r="J9">
        <v>3786694</v>
      </c>
      <c r="K9" t="s">
        <v>27</v>
      </c>
      <c r="L9">
        <v>32931</v>
      </c>
      <c r="M9" t="s">
        <v>13</v>
      </c>
      <c r="N9">
        <v>10542</v>
      </c>
      <c r="O9">
        <v>2137674</v>
      </c>
      <c r="P9">
        <v>34.9</v>
      </c>
      <c r="Q9" s="6">
        <v>43882.417060185187</v>
      </c>
    </row>
    <row r="10" spans="1:18" x14ac:dyDescent="0.25">
      <c r="A10" s="15">
        <v>20200220</v>
      </c>
      <c r="B10" s="15">
        <v>152713</v>
      </c>
      <c r="C10" s="15">
        <v>4367621</v>
      </c>
      <c r="D10" s="15" t="s">
        <v>0</v>
      </c>
      <c r="E10" s="15">
        <v>32911</v>
      </c>
      <c r="F10" s="15" t="s">
        <v>13</v>
      </c>
      <c r="G10" s="15">
        <v>161.80000000000001</v>
      </c>
      <c r="I10" t="s">
        <v>29</v>
      </c>
      <c r="J10">
        <v>3786694</v>
      </c>
      <c r="K10" t="s">
        <v>27</v>
      </c>
      <c r="L10">
        <v>32931</v>
      </c>
      <c r="M10" t="s">
        <v>13</v>
      </c>
      <c r="N10">
        <v>10542</v>
      </c>
      <c r="O10">
        <v>2137674</v>
      </c>
      <c r="P10">
        <v>34.4</v>
      </c>
      <c r="Q10" s="6">
        <v>43882.417071759257</v>
      </c>
    </row>
    <row r="11" spans="1:18" x14ac:dyDescent="0.25">
      <c r="A11" s="15">
        <v>20200221</v>
      </c>
      <c r="B11" s="15">
        <v>210507</v>
      </c>
      <c r="C11" s="15">
        <v>4370241</v>
      </c>
      <c r="D11" s="15" t="s">
        <v>0</v>
      </c>
      <c r="E11" s="15">
        <v>32911</v>
      </c>
      <c r="F11" s="15" t="s">
        <v>13</v>
      </c>
      <c r="G11" s="15">
        <v>42.4</v>
      </c>
      <c r="I11" t="s">
        <v>29</v>
      </c>
      <c r="J11">
        <v>3786694</v>
      </c>
      <c r="K11" t="s">
        <v>27</v>
      </c>
      <c r="L11">
        <v>32931</v>
      </c>
      <c r="M11" t="s">
        <v>13</v>
      </c>
      <c r="N11">
        <v>10542</v>
      </c>
      <c r="O11">
        <v>2137674</v>
      </c>
      <c r="P11">
        <v>37.700000000000003</v>
      </c>
      <c r="Q11" s="6">
        <v>43882.417071759257</v>
      </c>
    </row>
    <row r="12" spans="1:18" x14ac:dyDescent="0.25">
      <c r="A12" s="15">
        <v>20200224</v>
      </c>
      <c r="B12" s="15">
        <v>84954</v>
      </c>
      <c r="C12" s="15">
        <v>4371183</v>
      </c>
      <c r="D12" s="15" t="s">
        <v>0</v>
      </c>
      <c r="E12" s="15">
        <v>32941</v>
      </c>
      <c r="F12" s="15" t="s">
        <v>13</v>
      </c>
      <c r="G12" s="15">
        <v>39</v>
      </c>
      <c r="I12" t="s">
        <v>29</v>
      </c>
      <c r="J12">
        <v>3786694</v>
      </c>
      <c r="K12" t="s">
        <v>27</v>
      </c>
      <c r="L12">
        <v>32931</v>
      </c>
      <c r="M12" t="s">
        <v>13</v>
      </c>
      <c r="N12">
        <v>10542</v>
      </c>
      <c r="O12">
        <v>2137674</v>
      </c>
      <c r="P12">
        <v>39.700000000000003</v>
      </c>
      <c r="Q12" s="6">
        <v>43882.417071759257</v>
      </c>
    </row>
    <row r="13" spans="1:18" x14ac:dyDescent="0.25">
      <c r="A13" s="15">
        <v>20200221</v>
      </c>
      <c r="B13" s="15">
        <v>222616</v>
      </c>
      <c r="C13" s="15">
        <v>4370261</v>
      </c>
      <c r="D13" s="15" t="s">
        <v>0</v>
      </c>
      <c r="E13" s="15">
        <v>32941</v>
      </c>
      <c r="F13" s="15" t="s">
        <v>13</v>
      </c>
      <c r="G13" s="15">
        <v>208.9</v>
      </c>
      <c r="I13" t="s">
        <v>29</v>
      </c>
      <c r="J13">
        <v>3786694</v>
      </c>
      <c r="K13" t="s">
        <v>27</v>
      </c>
      <c r="L13">
        <v>32931</v>
      </c>
      <c r="M13" t="s">
        <v>13</v>
      </c>
      <c r="N13">
        <v>10542</v>
      </c>
      <c r="O13">
        <v>2137674</v>
      </c>
      <c r="P13">
        <v>37.5</v>
      </c>
      <c r="Q13" s="6">
        <v>43882.417083333334</v>
      </c>
    </row>
    <row r="14" spans="1:18" x14ac:dyDescent="0.25">
      <c r="A14" s="15">
        <v>20200221</v>
      </c>
      <c r="B14" s="15">
        <v>120915</v>
      </c>
      <c r="C14" s="15">
        <v>4369636</v>
      </c>
      <c r="D14" s="15" t="s">
        <v>0</v>
      </c>
      <c r="E14" s="15">
        <v>32931</v>
      </c>
      <c r="F14" s="15" t="s">
        <v>13</v>
      </c>
      <c r="G14" s="15">
        <v>45.1</v>
      </c>
      <c r="I14" t="s">
        <v>29</v>
      </c>
      <c r="J14">
        <v>3786694</v>
      </c>
      <c r="K14" t="s">
        <v>27</v>
      </c>
      <c r="L14">
        <v>32931</v>
      </c>
      <c r="M14" t="s">
        <v>13</v>
      </c>
      <c r="N14">
        <v>10542</v>
      </c>
      <c r="O14">
        <v>2137674</v>
      </c>
      <c r="P14">
        <v>36.700000000000003</v>
      </c>
      <c r="Q14" s="6">
        <v>43882.417083333334</v>
      </c>
    </row>
    <row r="15" spans="1:18" x14ac:dyDescent="0.25">
      <c r="I15" t="s">
        <v>29</v>
      </c>
      <c r="J15">
        <v>3786694</v>
      </c>
      <c r="K15" t="s">
        <v>27</v>
      </c>
      <c r="L15">
        <v>32931</v>
      </c>
      <c r="M15" t="s">
        <v>13</v>
      </c>
      <c r="N15">
        <v>10542</v>
      </c>
      <c r="O15">
        <v>2137674</v>
      </c>
      <c r="P15">
        <v>42.6</v>
      </c>
      <c r="Q15" s="6">
        <v>43882.417083333334</v>
      </c>
    </row>
    <row r="16" spans="1:18" x14ac:dyDescent="0.25">
      <c r="I16" t="s">
        <v>29</v>
      </c>
      <c r="J16">
        <v>3786694</v>
      </c>
      <c r="K16" t="s">
        <v>27</v>
      </c>
      <c r="L16">
        <v>32931</v>
      </c>
      <c r="M16" t="s">
        <v>13</v>
      </c>
      <c r="N16">
        <v>10542</v>
      </c>
      <c r="O16">
        <v>2137674</v>
      </c>
      <c r="P16">
        <v>36.700000000000003</v>
      </c>
      <c r="Q16" s="6">
        <v>43882.417083333334</v>
      </c>
    </row>
    <row r="17" spans="9:18" x14ac:dyDescent="0.25">
      <c r="I17" s="15" t="s">
        <v>29</v>
      </c>
      <c r="J17" s="15">
        <v>3786694</v>
      </c>
      <c r="K17" s="15" t="s">
        <v>27</v>
      </c>
      <c r="L17" s="15">
        <v>32931</v>
      </c>
      <c r="M17" s="15" t="s">
        <v>13</v>
      </c>
      <c r="N17" s="15">
        <v>10542</v>
      </c>
      <c r="O17" s="15">
        <v>2137674</v>
      </c>
      <c r="P17" s="15">
        <v>36.700000000000003</v>
      </c>
      <c r="Q17" s="17">
        <v>43882.417094907411</v>
      </c>
      <c r="R17" s="15">
        <f>SUM(P9:P17)</f>
        <v>336.9</v>
      </c>
    </row>
    <row r="18" spans="9:18" x14ac:dyDescent="0.25">
      <c r="I18" s="15" t="s">
        <v>29</v>
      </c>
      <c r="J18" s="15">
        <v>3786694</v>
      </c>
      <c r="K18" s="15" t="s">
        <v>27</v>
      </c>
      <c r="L18" s="15">
        <v>32931</v>
      </c>
      <c r="M18" s="15" t="s">
        <v>13</v>
      </c>
      <c r="N18" s="15">
        <v>10542</v>
      </c>
      <c r="O18" s="15">
        <v>2137674</v>
      </c>
      <c r="P18" s="15">
        <v>45.1</v>
      </c>
      <c r="Q18" s="17">
        <v>43882.506423611114</v>
      </c>
      <c r="R18" s="15">
        <v>45.1</v>
      </c>
    </row>
    <row r="19" spans="9:18" x14ac:dyDescent="0.25">
      <c r="I19" t="s">
        <v>29</v>
      </c>
      <c r="J19">
        <v>3786745</v>
      </c>
      <c r="K19" t="s">
        <v>27</v>
      </c>
      <c r="L19">
        <v>32941</v>
      </c>
      <c r="M19" t="s">
        <v>13</v>
      </c>
      <c r="N19">
        <v>10525</v>
      </c>
      <c r="O19">
        <v>2137674</v>
      </c>
      <c r="P19">
        <v>43.8</v>
      </c>
      <c r="Q19" s="6">
        <v>43882.770497685182</v>
      </c>
    </row>
    <row r="20" spans="9:18" x14ac:dyDescent="0.25">
      <c r="I20" t="s">
        <v>29</v>
      </c>
      <c r="J20">
        <v>3786745</v>
      </c>
      <c r="K20" t="s">
        <v>27</v>
      </c>
      <c r="L20">
        <v>32941</v>
      </c>
      <c r="M20" t="s">
        <v>13</v>
      </c>
      <c r="N20">
        <v>10525</v>
      </c>
      <c r="O20">
        <v>2137674</v>
      </c>
      <c r="P20">
        <v>40.299999999999997</v>
      </c>
      <c r="Q20" s="6">
        <v>43882.770509259259</v>
      </c>
    </row>
    <row r="21" spans="9:18" x14ac:dyDescent="0.25">
      <c r="I21" t="s">
        <v>29</v>
      </c>
      <c r="J21">
        <v>3786745</v>
      </c>
      <c r="K21" t="s">
        <v>27</v>
      </c>
      <c r="L21">
        <v>32941</v>
      </c>
      <c r="M21" t="s">
        <v>13</v>
      </c>
      <c r="N21">
        <v>10525</v>
      </c>
      <c r="O21">
        <v>2137674</v>
      </c>
      <c r="P21">
        <v>44</v>
      </c>
      <c r="Q21" s="6">
        <v>43882.770509259259</v>
      </c>
    </row>
    <row r="22" spans="9:18" x14ac:dyDescent="0.25">
      <c r="I22" t="s">
        <v>29</v>
      </c>
      <c r="J22">
        <v>3786745</v>
      </c>
      <c r="K22" t="s">
        <v>27</v>
      </c>
      <c r="L22">
        <v>32941</v>
      </c>
      <c r="M22" t="s">
        <v>13</v>
      </c>
      <c r="N22">
        <v>10525</v>
      </c>
      <c r="O22">
        <v>2137674</v>
      </c>
      <c r="P22">
        <v>41.9</v>
      </c>
      <c r="Q22" s="6">
        <v>43882.770509259259</v>
      </c>
    </row>
    <row r="23" spans="9:18" x14ac:dyDescent="0.25">
      <c r="I23" t="s">
        <v>29</v>
      </c>
      <c r="J23">
        <v>3786745</v>
      </c>
      <c r="K23" t="s">
        <v>27</v>
      </c>
      <c r="L23">
        <v>32941</v>
      </c>
      <c r="M23" t="s">
        <v>13</v>
      </c>
      <c r="N23">
        <v>10525</v>
      </c>
      <c r="O23">
        <v>2137674</v>
      </c>
      <c r="P23">
        <v>43.7</v>
      </c>
      <c r="Q23" s="6">
        <v>43882.770520833335</v>
      </c>
    </row>
    <row r="24" spans="9:18" x14ac:dyDescent="0.25">
      <c r="I24" t="s">
        <v>29</v>
      </c>
      <c r="J24">
        <v>3786745</v>
      </c>
      <c r="K24" t="s">
        <v>27</v>
      </c>
      <c r="L24">
        <v>32941</v>
      </c>
      <c r="M24" t="s">
        <v>13</v>
      </c>
      <c r="N24">
        <v>10525</v>
      </c>
      <c r="O24">
        <v>2137674</v>
      </c>
      <c r="P24">
        <v>42</v>
      </c>
      <c r="Q24" s="6">
        <v>43882.770520833335</v>
      </c>
    </row>
    <row r="25" spans="9:18" x14ac:dyDescent="0.25">
      <c r="I25" t="s">
        <v>29</v>
      </c>
      <c r="J25">
        <v>3786745</v>
      </c>
      <c r="K25" t="s">
        <v>27</v>
      </c>
      <c r="L25">
        <v>32941</v>
      </c>
      <c r="M25" t="s">
        <v>13</v>
      </c>
      <c r="N25">
        <v>10525</v>
      </c>
      <c r="O25">
        <v>2137674</v>
      </c>
      <c r="P25">
        <v>43.3</v>
      </c>
      <c r="Q25" s="6">
        <v>43882.770520833335</v>
      </c>
    </row>
    <row r="26" spans="9:18" x14ac:dyDescent="0.25">
      <c r="I26" s="15" t="s">
        <v>29</v>
      </c>
      <c r="J26" s="15">
        <v>3786745</v>
      </c>
      <c r="K26" s="15" t="s">
        <v>27</v>
      </c>
      <c r="L26" s="15">
        <v>32941</v>
      </c>
      <c r="M26" s="15" t="s">
        <v>13</v>
      </c>
      <c r="N26" s="15">
        <v>10525</v>
      </c>
      <c r="O26" s="15">
        <v>2137674</v>
      </c>
      <c r="P26" s="15">
        <v>42.1</v>
      </c>
      <c r="Q26" s="17">
        <v>43882.770520833335</v>
      </c>
      <c r="R26" s="15">
        <f>SUM(P19:P26)</f>
        <v>341.1</v>
      </c>
    </row>
    <row r="27" spans="9:18" x14ac:dyDescent="0.25">
      <c r="I27" t="s">
        <v>29</v>
      </c>
      <c r="J27">
        <v>3786745</v>
      </c>
      <c r="K27" t="s">
        <v>27</v>
      </c>
      <c r="L27">
        <v>32941</v>
      </c>
      <c r="M27" t="s">
        <v>13</v>
      </c>
      <c r="N27">
        <v>10525</v>
      </c>
      <c r="O27">
        <v>2137674</v>
      </c>
      <c r="P27">
        <v>48.3</v>
      </c>
      <c r="Q27" s="6">
        <v>43882.824363425927</v>
      </c>
    </row>
    <row r="28" spans="9:18" x14ac:dyDescent="0.25">
      <c r="I28" t="s">
        <v>29</v>
      </c>
      <c r="J28">
        <v>3786745</v>
      </c>
      <c r="K28" t="s">
        <v>27</v>
      </c>
      <c r="L28">
        <v>32941</v>
      </c>
      <c r="M28" t="s">
        <v>13</v>
      </c>
      <c r="N28">
        <v>10525</v>
      </c>
      <c r="O28">
        <v>2137674</v>
      </c>
      <c r="P28">
        <v>41.7</v>
      </c>
      <c r="Q28" s="6">
        <v>43882.824374999997</v>
      </c>
    </row>
    <row r="29" spans="9:18" x14ac:dyDescent="0.25">
      <c r="I29" t="s">
        <v>29</v>
      </c>
      <c r="J29">
        <v>3786745</v>
      </c>
      <c r="K29" t="s">
        <v>27</v>
      </c>
      <c r="L29">
        <v>32941</v>
      </c>
      <c r="M29" t="s">
        <v>13</v>
      </c>
      <c r="N29">
        <v>10525</v>
      </c>
      <c r="O29">
        <v>2137674</v>
      </c>
      <c r="P29">
        <v>40.5</v>
      </c>
      <c r="Q29" s="6">
        <v>43882.824374999997</v>
      </c>
    </row>
    <row r="30" spans="9:18" x14ac:dyDescent="0.25">
      <c r="I30" s="15" t="s">
        <v>29</v>
      </c>
      <c r="J30" s="15">
        <v>3786745</v>
      </c>
      <c r="K30" s="15" t="s">
        <v>27</v>
      </c>
      <c r="L30" s="15">
        <v>32941</v>
      </c>
      <c r="M30" s="15" t="s">
        <v>13</v>
      </c>
      <c r="N30" s="15">
        <v>10525</v>
      </c>
      <c r="O30" s="15">
        <v>2137674</v>
      </c>
      <c r="P30" s="15">
        <v>40.1</v>
      </c>
      <c r="Q30" s="17">
        <v>43882.824374999997</v>
      </c>
      <c r="R30" s="15">
        <f>SUM(P27:P30)</f>
        <v>170.6</v>
      </c>
    </row>
    <row r="31" spans="9:18" x14ac:dyDescent="0.25">
      <c r="I31" s="15" t="s">
        <v>29</v>
      </c>
      <c r="J31" s="15">
        <v>3786567</v>
      </c>
      <c r="K31" s="15" t="s">
        <v>27</v>
      </c>
      <c r="L31" s="15">
        <v>32911</v>
      </c>
      <c r="M31" s="15" t="s">
        <v>13</v>
      </c>
      <c r="N31" s="15">
        <v>10446</v>
      </c>
      <c r="O31" s="15">
        <v>2137674</v>
      </c>
      <c r="P31" s="15">
        <v>42.4</v>
      </c>
      <c r="Q31" s="17">
        <v>43882.878541666665</v>
      </c>
      <c r="R31" s="15">
        <v>42.4</v>
      </c>
    </row>
    <row r="32" spans="9:18" x14ac:dyDescent="0.25">
      <c r="I32" t="s">
        <v>29</v>
      </c>
      <c r="J32">
        <v>3786765</v>
      </c>
      <c r="K32" t="s">
        <v>27</v>
      </c>
      <c r="L32">
        <v>32941</v>
      </c>
      <c r="M32" t="s">
        <v>13</v>
      </c>
      <c r="N32">
        <v>10597</v>
      </c>
      <c r="O32">
        <v>2137674</v>
      </c>
      <c r="P32">
        <v>41.9</v>
      </c>
      <c r="Q32" s="6">
        <v>43882.934884259259</v>
      </c>
    </row>
    <row r="33" spans="9:18" x14ac:dyDescent="0.25">
      <c r="I33" t="s">
        <v>29</v>
      </c>
      <c r="J33">
        <v>3786765</v>
      </c>
      <c r="K33" t="s">
        <v>27</v>
      </c>
      <c r="L33">
        <v>32941</v>
      </c>
      <c r="M33" t="s">
        <v>13</v>
      </c>
      <c r="N33">
        <v>10597</v>
      </c>
      <c r="O33">
        <v>2137674</v>
      </c>
      <c r="P33">
        <v>42.8</v>
      </c>
      <c r="Q33" s="6">
        <v>43882.934884259259</v>
      </c>
    </row>
    <row r="34" spans="9:18" x14ac:dyDescent="0.25">
      <c r="I34" t="s">
        <v>29</v>
      </c>
      <c r="J34">
        <v>3786765</v>
      </c>
      <c r="K34" t="s">
        <v>27</v>
      </c>
      <c r="L34">
        <v>32941</v>
      </c>
      <c r="M34" t="s">
        <v>13</v>
      </c>
      <c r="N34">
        <v>10597</v>
      </c>
      <c r="O34">
        <v>2137674</v>
      </c>
      <c r="P34">
        <v>38.299999999999997</v>
      </c>
      <c r="Q34" s="6">
        <v>43882.934895833336</v>
      </c>
    </row>
    <row r="35" spans="9:18" x14ac:dyDescent="0.25">
      <c r="I35" t="s">
        <v>29</v>
      </c>
      <c r="J35">
        <v>3786765</v>
      </c>
      <c r="K35" t="s">
        <v>27</v>
      </c>
      <c r="L35">
        <v>32941</v>
      </c>
      <c r="M35" t="s">
        <v>13</v>
      </c>
      <c r="N35">
        <v>10597</v>
      </c>
      <c r="O35">
        <v>2137674</v>
      </c>
      <c r="P35">
        <v>44.3</v>
      </c>
      <c r="Q35" s="6">
        <v>43882.934895833336</v>
      </c>
    </row>
    <row r="36" spans="9:18" x14ac:dyDescent="0.25">
      <c r="I36" s="15" t="s">
        <v>29</v>
      </c>
      <c r="J36" s="15">
        <v>3786765</v>
      </c>
      <c r="K36" s="15" t="s">
        <v>27</v>
      </c>
      <c r="L36" s="15">
        <v>32941</v>
      </c>
      <c r="M36" s="15" t="s">
        <v>13</v>
      </c>
      <c r="N36" s="15">
        <v>10597</v>
      </c>
      <c r="O36" s="15">
        <v>2137674</v>
      </c>
      <c r="P36" s="15">
        <v>41.6</v>
      </c>
      <c r="Q36" s="17">
        <v>43882.934895833336</v>
      </c>
      <c r="R36" s="15">
        <f>SUM(P32:P36)</f>
        <v>208.89999999999998</v>
      </c>
    </row>
    <row r="37" spans="9:18" x14ac:dyDescent="0.25">
      <c r="I37" t="s">
        <v>29</v>
      </c>
      <c r="J37">
        <v>3786567</v>
      </c>
      <c r="K37" t="s">
        <v>27</v>
      </c>
      <c r="L37">
        <v>32911</v>
      </c>
      <c r="M37" t="s">
        <v>13</v>
      </c>
      <c r="N37">
        <v>10446</v>
      </c>
      <c r="O37">
        <v>2137674</v>
      </c>
      <c r="P37">
        <v>40.200000000000003</v>
      </c>
      <c r="Q37" s="6">
        <v>43882.979212962964</v>
      </c>
    </row>
    <row r="38" spans="9:18" x14ac:dyDescent="0.25">
      <c r="I38" t="s">
        <v>29</v>
      </c>
      <c r="J38">
        <v>3786567</v>
      </c>
      <c r="K38" t="s">
        <v>27</v>
      </c>
      <c r="L38">
        <v>32911</v>
      </c>
      <c r="M38" t="s">
        <v>13</v>
      </c>
      <c r="N38">
        <v>10446</v>
      </c>
      <c r="O38">
        <v>2137674</v>
      </c>
      <c r="P38">
        <v>43.2</v>
      </c>
      <c r="Q38" s="6">
        <v>43882.979224537034</v>
      </c>
    </row>
    <row r="39" spans="9:18" x14ac:dyDescent="0.25">
      <c r="I39" t="s">
        <v>29</v>
      </c>
      <c r="J39">
        <v>3786567</v>
      </c>
      <c r="K39" t="s">
        <v>27</v>
      </c>
      <c r="L39">
        <v>32911</v>
      </c>
      <c r="M39" t="s">
        <v>13</v>
      </c>
      <c r="N39">
        <v>10446</v>
      </c>
      <c r="O39">
        <v>2137674</v>
      </c>
      <c r="P39">
        <v>40.9</v>
      </c>
      <c r="Q39" s="6">
        <v>43882.979224537034</v>
      </c>
    </row>
    <row r="40" spans="9:18" x14ac:dyDescent="0.25">
      <c r="I40" t="s">
        <v>29</v>
      </c>
      <c r="J40">
        <v>3786567</v>
      </c>
      <c r="K40" t="s">
        <v>27</v>
      </c>
      <c r="L40">
        <v>32911</v>
      </c>
      <c r="M40" t="s">
        <v>13</v>
      </c>
      <c r="N40">
        <v>10446</v>
      </c>
      <c r="O40">
        <v>2137674</v>
      </c>
      <c r="P40">
        <v>40.299999999999997</v>
      </c>
      <c r="Q40" s="6">
        <v>43882.97923611111</v>
      </c>
    </row>
    <row r="41" spans="9:18" x14ac:dyDescent="0.25">
      <c r="I41" t="s">
        <v>29</v>
      </c>
      <c r="J41">
        <v>3786567</v>
      </c>
      <c r="K41" t="s">
        <v>27</v>
      </c>
      <c r="L41">
        <v>32911</v>
      </c>
      <c r="M41" t="s">
        <v>13</v>
      </c>
      <c r="N41">
        <v>10446</v>
      </c>
      <c r="O41">
        <v>2137674</v>
      </c>
      <c r="P41">
        <v>40.4</v>
      </c>
      <c r="Q41" s="6">
        <v>43882.97923611111</v>
      </c>
    </row>
    <row r="42" spans="9:18" x14ac:dyDescent="0.25">
      <c r="I42" s="15" t="s">
        <v>29</v>
      </c>
      <c r="J42" s="15">
        <v>3786567</v>
      </c>
      <c r="K42" s="15" t="s">
        <v>27</v>
      </c>
      <c r="L42" s="15">
        <v>32911</v>
      </c>
      <c r="M42" s="15" t="s">
        <v>13</v>
      </c>
      <c r="N42" s="15">
        <v>10446</v>
      </c>
      <c r="O42" s="15">
        <v>2137674</v>
      </c>
      <c r="P42" s="15">
        <v>44.1</v>
      </c>
      <c r="Q42" s="17">
        <v>43882.97923611111</v>
      </c>
      <c r="R42" s="15">
        <f>SUM(P37:P42)</f>
        <v>249.10000000000002</v>
      </c>
    </row>
    <row r="43" spans="9:18" x14ac:dyDescent="0.25">
      <c r="I43" s="15" t="s">
        <v>29</v>
      </c>
      <c r="J43" s="15">
        <v>3786765</v>
      </c>
      <c r="K43" s="15" t="s">
        <v>27</v>
      </c>
      <c r="L43" s="15">
        <v>32941</v>
      </c>
      <c r="M43" s="15" t="s">
        <v>13</v>
      </c>
      <c r="N43" s="15">
        <v>10597</v>
      </c>
      <c r="O43" s="15">
        <v>2137674</v>
      </c>
      <c r="P43" s="15">
        <v>39</v>
      </c>
      <c r="Q43" s="17">
        <v>43885.367986111109</v>
      </c>
      <c r="R43" s="15">
        <v>39</v>
      </c>
    </row>
    <row r="44" spans="9:18" x14ac:dyDescent="0.25">
      <c r="I44" t="s">
        <v>29</v>
      </c>
      <c r="J44">
        <v>3786765</v>
      </c>
      <c r="K44" t="s">
        <v>27</v>
      </c>
      <c r="L44">
        <v>32941</v>
      </c>
      <c r="M44" t="s">
        <v>13</v>
      </c>
      <c r="N44">
        <v>10597</v>
      </c>
      <c r="O44">
        <v>2137674</v>
      </c>
      <c r="P44">
        <v>41.5</v>
      </c>
      <c r="Q44" s="6">
        <v>43885.379108796296</v>
      </c>
    </row>
    <row r="45" spans="9:18" x14ac:dyDescent="0.25">
      <c r="I45" t="s">
        <v>29</v>
      </c>
      <c r="J45">
        <v>3786765</v>
      </c>
      <c r="K45" t="s">
        <v>27</v>
      </c>
      <c r="L45">
        <v>32941</v>
      </c>
      <c r="M45" t="s">
        <v>13</v>
      </c>
      <c r="N45">
        <v>10597</v>
      </c>
      <c r="O45">
        <v>2137674</v>
      </c>
      <c r="P45">
        <v>42.4</v>
      </c>
      <c r="Q45" s="6">
        <v>43885.379108796296</v>
      </c>
    </row>
    <row r="46" spans="9:18" x14ac:dyDescent="0.25">
      <c r="I46" s="15" t="s">
        <v>29</v>
      </c>
      <c r="J46" s="15">
        <v>3786765</v>
      </c>
      <c r="K46" s="15" t="s">
        <v>27</v>
      </c>
      <c r="L46" s="15">
        <v>32941</v>
      </c>
      <c r="M46" s="15" t="s">
        <v>13</v>
      </c>
      <c r="N46" s="15">
        <v>10597</v>
      </c>
      <c r="O46" s="15">
        <v>2137674</v>
      </c>
      <c r="P46" s="15">
        <v>44.5</v>
      </c>
      <c r="Q46" s="17">
        <v>43885.379108796296</v>
      </c>
      <c r="R46" s="15">
        <f>SUM(P44:P46)</f>
        <v>128.4</v>
      </c>
    </row>
    <row r="47" spans="9:18" x14ac:dyDescent="0.25">
      <c r="I47" t="s">
        <v>29</v>
      </c>
      <c r="J47">
        <v>3786765</v>
      </c>
      <c r="K47" t="s">
        <v>27</v>
      </c>
      <c r="L47">
        <v>32941</v>
      </c>
      <c r="M47" t="s">
        <v>13</v>
      </c>
      <c r="N47">
        <v>10597</v>
      </c>
      <c r="O47">
        <v>2137674</v>
      </c>
      <c r="P47">
        <v>42.4</v>
      </c>
      <c r="Q47" s="6">
        <v>43885.462939814817</v>
      </c>
    </row>
    <row r="48" spans="9:18" x14ac:dyDescent="0.25">
      <c r="I48" s="15" t="s">
        <v>29</v>
      </c>
      <c r="J48" s="15">
        <v>3786765</v>
      </c>
      <c r="K48" s="15" t="s">
        <v>27</v>
      </c>
      <c r="L48" s="15">
        <v>32941</v>
      </c>
      <c r="M48" s="15" t="s">
        <v>13</v>
      </c>
      <c r="N48" s="15">
        <v>10597</v>
      </c>
      <c r="O48" s="15">
        <v>2137674</v>
      </c>
      <c r="P48" s="15">
        <v>41.7</v>
      </c>
      <c r="Q48" s="17">
        <v>43885.462951388887</v>
      </c>
      <c r="R48" s="15">
        <f>SUM(P47:P48)</f>
        <v>84.1</v>
      </c>
    </row>
    <row r="49" spans="9:17" x14ac:dyDescent="0.25">
      <c r="I49" t="s">
        <v>29</v>
      </c>
      <c r="J49">
        <v>3786823</v>
      </c>
      <c r="K49" t="s">
        <v>27</v>
      </c>
      <c r="L49">
        <v>32941</v>
      </c>
      <c r="M49" t="s">
        <v>13</v>
      </c>
      <c r="N49">
        <v>10606</v>
      </c>
      <c r="O49">
        <v>2137674</v>
      </c>
      <c r="P49">
        <v>41.1</v>
      </c>
      <c r="Q49" s="6">
        <v>43885.490081018521</v>
      </c>
    </row>
    <row r="50" spans="9:17" x14ac:dyDescent="0.25">
      <c r="I50" t="s">
        <v>29</v>
      </c>
      <c r="J50">
        <v>3786823</v>
      </c>
      <c r="K50" t="s">
        <v>27</v>
      </c>
      <c r="L50">
        <v>32941</v>
      </c>
      <c r="M50" t="s">
        <v>13</v>
      </c>
      <c r="N50">
        <v>10606</v>
      </c>
      <c r="O50">
        <v>2137674</v>
      </c>
      <c r="P50">
        <v>41.1</v>
      </c>
      <c r="Q50" s="6">
        <v>43885.490081018521</v>
      </c>
    </row>
    <row r="51" spans="9:17" x14ac:dyDescent="0.25">
      <c r="I51" t="s">
        <v>29</v>
      </c>
      <c r="J51">
        <v>3786823</v>
      </c>
      <c r="K51" t="s">
        <v>27</v>
      </c>
      <c r="L51">
        <v>32941</v>
      </c>
      <c r="M51" t="s">
        <v>13</v>
      </c>
      <c r="N51">
        <v>10606</v>
      </c>
      <c r="O51">
        <v>2137674</v>
      </c>
      <c r="P51">
        <v>39.700000000000003</v>
      </c>
      <c r="Q51" s="6">
        <v>43885.490081018521</v>
      </c>
    </row>
    <row r="52" spans="9:17" x14ac:dyDescent="0.25">
      <c r="I52" t="s">
        <v>29</v>
      </c>
      <c r="J52">
        <v>3786823</v>
      </c>
      <c r="K52" t="s">
        <v>27</v>
      </c>
      <c r="L52">
        <v>32941</v>
      </c>
      <c r="M52" t="s">
        <v>13</v>
      </c>
      <c r="N52">
        <v>10606</v>
      </c>
      <c r="O52">
        <v>2137674</v>
      </c>
      <c r="P52">
        <v>41.5</v>
      </c>
      <c r="Q52" s="6">
        <v>43885.49009259259</v>
      </c>
    </row>
    <row r="53" spans="9:17" x14ac:dyDescent="0.25">
      <c r="I53" t="s">
        <v>29</v>
      </c>
      <c r="J53">
        <v>3786823</v>
      </c>
      <c r="K53" t="s">
        <v>27</v>
      </c>
      <c r="L53">
        <v>32941</v>
      </c>
      <c r="M53" t="s">
        <v>13</v>
      </c>
      <c r="N53">
        <v>10606</v>
      </c>
      <c r="O53">
        <v>2137674</v>
      </c>
      <c r="P53">
        <v>44.6</v>
      </c>
      <c r="Q53" s="6">
        <v>43885.49009259259</v>
      </c>
    </row>
    <row r="54" spans="9:17" x14ac:dyDescent="0.25">
      <c r="I54" t="s">
        <v>29</v>
      </c>
      <c r="J54">
        <v>3786823</v>
      </c>
      <c r="K54" t="s">
        <v>27</v>
      </c>
      <c r="L54">
        <v>32941</v>
      </c>
      <c r="M54" t="s">
        <v>13</v>
      </c>
      <c r="N54">
        <v>10606</v>
      </c>
      <c r="O54">
        <v>2137674</v>
      </c>
      <c r="P54">
        <v>43.5</v>
      </c>
      <c r="Q54" s="6">
        <v>43885.49009259259</v>
      </c>
    </row>
    <row r="55" spans="9:17" x14ac:dyDescent="0.25">
      <c r="I55" t="s">
        <v>29</v>
      </c>
      <c r="J55">
        <v>3786823</v>
      </c>
      <c r="K55" t="s">
        <v>27</v>
      </c>
      <c r="L55">
        <v>32941</v>
      </c>
      <c r="M55" t="s">
        <v>13</v>
      </c>
      <c r="N55">
        <v>10606</v>
      </c>
      <c r="O55">
        <v>2137674</v>
      </c>
      <c r="P55">
        <v>42.4</v>
      </c>
      <c r="Q55" s="6">
        <v>43885.49009259259</v>
      </c>
    </row>
    <row r="56" spans="9:17" x14ac:dyDescent="0.25">
      <c r="I56" t="s">
        <v>29</v>
      </c>
      <c r="J56">
        <v>3786823</v>
      </c>
      <c r="K56" t="s">
        <v>27</v>
      </c>
      <c r="L56">
        <v>32941</v>
      </c>
      <c r="M56" t="s">
        <v>13</v>
      </c>
      <c r="N56">
        <v>10606</v>
      </c>
      <c r="O56">
        <v>2137674</v>
      </c>
      <c r="P56">
        <v>37.1</v>
      </c>
      <c r="Q56" s="6">
        <v>43885.49009259259</v>
      </c>
    </row>
    <row r="57" spans="9:17" x14ac:dyDescent="0.25">
      <c r="I57" t="s">
        <v>29</v>
      </c>
      <c r="J57">
        <v>3786823</v>
      </c>
      <c r="K57" t="s">
        <v>27</v>
      </c>
      <c r="L57">
        <v>32941</v>
      </c>
      <c r="M57" t="s">
        <v>13</v>
      </c>
      <c r="N57">
        <v>10606</v>
      </c>
      <c r="O57">
        <v>2137674</v>
      </c>
      <c r="P57">
        <v>37.9</v>
      </c>
      <c r="Q57" s="6">
        <v>43885.490104166667</v>
      </c>
    </row>
    <row r="58" spans="9:17" x14ac:dyDescent="0.25">
      <c r="I58" t="s">
        <v>29</v>
      </c>
      <c r="J58">
        <v>3786823</v>
      </c>
      <c r="K58" t="s">
        <v>27</v>
      </c>
      <c r="L58">
        <v>32941</v>
      </c>
      <c r="M58" t="s">
        <v>13</v>
      </c>
      <c r="N58">
        <v>10606</v>
      </c>
      <c r="O58">
        <v>2137674</v>
      </c>
      <c r="P58">
        <v>44.8</v>
      </c>
      <c r="Q58" s="6">
        <v>43885.509375000001</v>
      </c>
    </row>
    <row r="59" spans="9:17" x14ac:dyDescent="0.25">
      <c r="I59" t="s">
        <v>29</v>
      </c>
      <c r="J59">
        <v>3786823</v>
      </c>
      <c r="K59" t="s">
        <v>27</v>
      </c>
      <c r="L59">
        <v>32941</v>
      </c>
      <c r="M59" t="s">
        <v>13</v>
      </c>
      <c r="N59">
        <v>10606</v>
      </c>
      <c r="O59">
        <v>2137674</v>
      </c>
      <c r="P59">
        <v>37.299999999999997</v>
      </c>
      <c r="Q59" s="6">
        <v>43885.704756944448</v>
      </c>
    </row>
    <row r="60" spans="9:17" x14ac:dyDescent="0.25">
      <c r="I60" t="s">
        <v>29</v>
      </c>
      <c r="J60">
        <v>3786823</v>
      </c>
      <c r="K60" t="s">
        <v>27</v>
      </c>
      <c r="L60">
        <v>32941</v>
      </c>
      <c r="M60" t="s">
        <v>13</v>
      </c>
      <c r="N60">
        <v>10606</v>
      </c>
      <c r="O60">
        <v>2137674</v>
      </c>
      <c r="P60">
        <v>41.3</v>
      </c>
      <c r="Q60" s="6">
        <v>43885.704768518517</v>
      </c>
    </row>
    <row r="61" spans="9:17" x14ac:dyDescent="0.25">
      <c r="I61" t="s">
        <v>29</v>
      </c>
      <c r="J61">
        <v>3786823</v>
      </c>
      <c r="K61" t="s">
        <v>27</v>
      </c>
      <c r="L61">
        <v>32941</v>
      </c>
      <c r="M61" t="s">
        <v>13</v>
      </c>
      <c r="N61">
        <v>10606</v>
      </c>
      <c r="O61">
        <v>2137674</v>
      </c>
      <c r="P61">
        <v>43.6</v>
      </c>
      <c r="Q61" s="6">
        <v>43885.704768518517</v>
      </c>
    </row>
    <row r="62" spans="9:17" x14ac:dyDescent="0.25">
      <c r="I62" t="s">
        <v>29</v>
      </c>
      <c r="J62">
        <v>3786823</v>
      </c>
      <c r="K62" t="s">
        <v>27</v>
      </c>
      <c r="L62">
        <v>32941</v>
      </c>
      <c r="M62" t="s">
        <v>13</v>
      </c>
      <c r="N62">
        <v>10606</v>
      </c>
      <c r="O62">
        <v>2137674</v>
      </c>
      <c r="P62">
        <v>40.4</v>
      </c>
      <c r="Q62" s="6">
        <v>43885.704768518517</v>
      </c>
    </row>
    <row r="63" spans="9:17" x14ac:dyDescent="0.25">
      <c r="I63" t="s">
        <v>29</v>
      </c>
      <c r="J63">
        <v>3786823</v>
      </c>
      <c r="K63" t="s">
        <v>27</v>
      </c>
      <c r="L63">
        <v>32941</v>
      </c>
      <c r="M63" t="s">
        <v>13</v>
      </c>
      <c r="N63">
        <v>10606</v>
      </c>
      <c r="O63">
        <v>2137674</v>
      </c>
      <c r="P63">
        <v>40</v>
      </c>
      <c r="Q63" s="6">
        <v>43885.704768518517</v>
      </c>
    </row>
    <row r="64" spans="9:17" x14ac:dyDescent="0.25">
      <c r="I64" t="s">
        <v>29</v>
      </c>
      <c r="J64">
        <v>3786823</v>
      </c>
      <c r="K64" t="s">
        <v>27</v>
      </c>
      <c r="L64">
        <v>32941</v>
      </c>
      <c r="M64" t="s">
        <v>13</v>
      </c>
      <c r="N64">
        <v>10606</v>
      </c>
      <c r="O64">
        <v>2137674</v>
      </c>
      <c r="P64">
        <v>41.5</v>
      </c>
      <c r="Q64" s="6">
        <v>43885.704768518517</v>
      </c>
    </row>
    <row r="65" spans="9:17" x14ac:dyDescent="0.25">
      <c r="I65" t="s">
        <v>29</v>
      </c>
      <c r="J65">
        <v>3786823</v>
      </c>
      <c r="K65" t="s">
        <v>27</v>
      </c>
      <c r="L65">
        <v>32941</v>
      </c>
      <c r="M65" t="s">
        <v>13</v>
      </c>
      <c r="N65">
        <v>10606</v>
      </c>
      <c r="O65">
        <v>2137674</v>
      </c>
      <c r="P65">
        <v>40.700000000000003</v>
      </c>
      <c r="Q65" s="6">
        <v>43885.704768518517</v>
      </c>
    </row>
    <row r="66" spans="9:17" x14ac:dyDescent="0.25">
      <c r="I66" t="s">
        <v>29</v>
      </c>
      <c r="J66">
        <v>3786823</v>
      </c>
      <c r="K66" t="s">
        <v>27</v>
      </c>
      <c r="L66">
        <v>32941</v>
      </c>
      <c r="M66" t="s">
        <v>13</v>
      </c>
      <c r="N66">
        <v>10606</v>
      </c>
      <c r="O66">
        <v>2137674</v>
      </c>
      <c r="P66">
        <v>38.799999999999997</v>
      </c>
      <c r="Q66" s="6">
        <v>43885.704780092594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2"/>
  <sheetViews>
    <sheetView topLeftCell="A4" workbookViewId="0">
      <selection activeCell="H22" sqref="H22"/>
    </sheetView>
  </sheetViews>
  <sheetFormatPr defaultRowHeight="15" x14ac:dyDescent="0.25"/>
  <cols>
    <col min="5" max="5" width="11.42578125" bestFit="1" customWidth="1"/>
    <col min="12" max="12" width="6" bestFit="1" customWidth="1"/>
    <col min="16" max="16" width="5" bestFit="1" customWidth="1"/>
    <col min="17" max="17" width="14.85546875" bestFit="1" customWidth="1"/>
  </cols>
  <sheetData>
    <row r="2" spans="1:18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37</v>
      </c>
    </row>
    <row r="3" spans="1:18" x14ac:dyDescent="0.25">
      <c r="A3" s="15">
        <v>20200221</v>
      </c>
      <c r="B3" s="15">
        <v>174546</v>
      </c>
      <c r="C3" s="15">
        <v>4370000</v>
      </c>
      <c r="D3" s="15" t="s">
        <v>0</v>
      </c>
      <c r="E3" s="15">
        <v>32941</v>
      </c>
      <c r="F3" s="15" t="s">
        <v>17</v>
      </c>
      <c r="G3" s="15">
        <v>39.700000000000003</v>
      </c>
      <c r="I3" t="s">
        <v>29</v>
      </c>
      <c r="J3">
        <v>3786604</v>
      </c>
      <c r="K3" t="s">
        <v>27</v>
      </c>
      <c r="L3">
        <v>32911</v>
      </c>
      <c r="M3" t="s">
        <v>17</v>
      </c>
      <c r="N3">
        <v>10486</v>
      </c>
      <c r="O3">
        <v>2137674</v>
      </c>
      <c r="P3">
        <v>41.8</v>
      </c>
      <c r="Q3" s="6">
        <v>43881.482662037037</v>
      </c>
    </row>
    <row r="4" spans="1:18" x14ac:dyDescent="0.25">
      <c r="A4" s="15">
        <v>20200220</v>
      </c>
      <c r="B4" s="15">
        <v>221130</v>
      </c>
      <c r="C4" s="15">
        <v>4368136</v>
      </c>
      <c r="D4" s="15" t="s">
        <v>0</v>
      </c>
      <c r="E4" s="15">
        <v>32931</v>
      </c>
      <c r="F4" s="15" t="s">
        <v>17</v>
      </c>
      <c r="G4" s="15">
        <v>67.099999999999994</v>
      </c>
      <c r="I4" t="s">
        <v>29</v>
      </c>
      <c r="J4">
        <v>3786604</v>
      </c>
      <c r="K4" t="s">
        <v>27</v>
      </c>
      <c r="L4">
        <v>32911</v>
      </c>
      <c r="M4" t="s">
        <v>17</v>
      </c>
      <c r="N4">
        <v>10486</v>
      </c>
      <c r="O4">
        <v>2137674</v>
      </c>
      <c r="P4">
        <v>41.5</v>
      </c>
      <c r="Q4" s="6">
        <v>43881.482673611114</v>
      </c>
    </row>
    <row r="5" spans="1:18" x14ac:dyDescent="0.25">
      <c r="A5" s="15">
        <v>20200220</v>
      </c>
      <c r="B5" s="15">
        <v>153714</v>
      </c>
      <c r="C5" s="15">
        <v>4367622</v>
      </c>
      <c r="D5" s="15" t="s">
        <v>0</v>
      </c>
      <c r="E5" s="15">
        <v>32931</v>
      </c>
      <c r="F5" s="15" t="s">
        <v>17</v>
      </c>
      <c r="G5" s="15">
        <v>34.4</v>
      </c>
      <c r="I5" t="s">
        <v>29</v>
      </c>
      <c r="J5">
        <v>3786604</v>
      </c>
      <c r="K5" t="s">
        <v>27</v>
      </c>
      <c r="L5">
        <v>32911</v>
      </c>
      <c r="M5" t="s">
        <v>17</v>
      </c>
      <c r="N5">
        <v>10486</v>
      </c>
      <c r="O5">
        <v>2137674</v>
      </c>
      <c r="P5">
        <v>39.6</v>
      </c>
      <c r="Q5" s="6">
        <v>43881.482685185183</v>
      </c>
    </row>
    <row r="6" spans="1:18" x14ac:dyDescent="0.25">
      <c r="A6" s="15">
        <v>20200220</v>
      </c>
      <c r="B6" s="15">
        <v>223604</v>
      </c>
      <c r="C6" s="15">
        <v>4368166</v>
      </c>
      <c r="D6" s="15" t="s">
        <v>0</v>
      </c>
      <c r="E6" s="15">
        <v>32931</v>
      </c>
      <c r="F6" s="15" t="s">
        <v>17</v>
      </c>
      <c r="G6" s="15">
        <v>42.1</v>
      </c>
      <c r="I6" t="s">
        <v>29</v>
      </c>
      <c r="J6">
        <v>3786604</v>
      </c>
      <c r="K6" t="s">
        <v>27</v>
      </c>
      <c r="L6">
        <v>32911</v>
      </c>
      <c r="M6" t="s">
        <v>17</v>
      </c>
      <c r="N6">
        <v>10486</v>
      </c>
      <c r="O6">
        <v>2137674</v>
      </c>
      <c r="P6">
        <v>41.9</v>
      </c>
      <c r="Q6" s="6">
        <v>43881.482685185183</v>
      </c>
    </row>
    <row r="7" spans="1:18" x14ac:dyDescent="0.25">
      <c r="A7" s="15">
        <v>20200221</v>
      </c>
      <c r="B7" s="15">
        <v>130209</v>
      </c>
      <c r="C7" s="15">
        <v>4369715</v>
      </c>
      <c r="D7" s="15" t="s">
        <v>0</v>
      </c>
      <c r="E7" s="15">
        <v>32931</v>
      </c>
      <c r="F7" s="15" t="s">
        <v>17</v>
      </c>
      <c r="G7" s="15">
        <v>33</v>
      </c>
      <c r="I7" t="s">
        <v>29</v>
      </c>
      <c r="J7">
        <v>3786604</v>
      </c>
      <c r="K7" t="s">
        <v>27</v>
      </c>
      <c r="L7">
        <v>32911</v>
      </c>
      <c r="M7" t="s">
        <v>17</v>
      </c>
      <c r="N7">
        <v>10486</v>
      </c>
      <c r="O7">
        <v>2137674</v>
      </c>
      <c r="P7">
        <v>42.3</v>
      </c>
      <c r="Q7" s="6">
        <v>43881.482685185183</v>
      </c>
    </row>
    <row r="8" spans="1:18" x14ac:dyDescent="0.25">
      <c r="A8" s="15">
        <v>20200221</v>
      </c>
      <c r="B8" s="15">
        <v>182130</v>
      </c>
      <c r="C8" s="15">
        <v>4370031</v>
      </c>
      <c r="D8" s="15" t="s">
        <v>0</v>
      </c>
      <c r="E8" s="15">
        <v>32941</v>
      </c>
      <c r="F8" s="15" t="s">
        <v>17</v>
      </c>
      <c r="G8" s="15">
        <v>40.299999999999997</v>
      </c>
      <c r="I8" s="8" t="s">
        <v>29</v>
      </c>
      <c r="J8" s="8">
        <v>3786604</v>
      </c>
      <c r="K8" s="8" t="s">
        <v>27</v>
      </c>
      <c r="L8" s="8">
        <v>32911</v>
      </c>
      <c r="M8" s="8" t="s">
        <v>17</v>
      </c>
      <c r="N8" s="8">
        <v>10486</v>
      </c>
      <c r="O8" s="8">
        <v>2137674</v>
      </c>
      <c r="P8" s="8">
        <v>40.6</v>
      </c>
      <c r="Q8" s="14">
        <v>43881.48269675926</v>
      </c>
      <c r="R8" s="8">
        <f>SUM(P3:P8)</f>
        <v>247.70000000000002</v>
      </c>
    </row>
    <row r="9" spans="1:18" x14ac:dyDescent="0.25">
      <c r="A9" s="15">
        <v>20200224</v>
      </c>
      <c r="B9" s="15">
        <v>85128</v>
      </c>
      <c r="C9" s="15">
        <v>4371185</v>
      </c>
      <c r="D9" s="15" t="s">
        <v>0</v>
      </c>
      <c r="E9" s="15">
        <v>32941</v>
      </c>
      <c r="F9" s="15" t="s">
        <v>17</v>
      </c>
      <c r="G9" s="15">
        <v>212.1</v>
      </c>
      <c r="I9" t="s">
        <v>29</v>
      </c>
      <c r="J9">
        <v>3786604</v>
      </c>
      <c r="K9" t="s">
        <v>27</v>
      </c>
      <c r="L9">
        <v>32911</v>
      </c>
      <c r="M9" t="s">
        <v>17</v>
      </c>
      <c r="N9">
        <v>10486</v>
      </c>
      <c r="O9">
        <v>2137674</v>
      </c>
      <c r="P9">
        <v>39.799999999999997</v>
      </c>
      <c r="Q9" s="6">
        <v>43881.638252314813</v>
      </c>
    </row>
    <row r="10" spans="1:18" x14ac:dyDescent="0.25">
      <c r="A10" s="15">
        <v>20200221</v>
      </c>
      <c r="B10" s="15">
        <v>213506</v>
      </c>
      <c r="C10" s="15">
        <v>4370252</v>
      </c>
      <c r="D10" s="15" t="s">
        <v>0</v>
      </c>
      <c r="E10" s="15">
        <v>32911</v>
      </c>
      <c r="F10" s="15" t="s">
        <v>17</v>
      </c>
      <c r="G10" s="15">
        <v>167.4</v>
      </c>
      <c r="I10" t="s">
        <v>29</v>
      </c>
      <c r="J10">
        <v>3786604</v>
      </c>
      <c r="K10" t="s">
        <v>27</v>
      </c>
      <c r="L10">
        <v>32911</v>
      </c>
      <c r="M10" t="s">
        <v>17</v>
      </c>
      <c r="N10">
        <v>10486</v>
      </c>
      <c r="O10">
        <v>2137674</v>
      </c>
      <c r="P10">
        <v>43.5</v>
      </c>
      <c r="Q10" s="6">
        <v>43881.63826388889</v>
      </c>
    </row>
    <row r="11" spans="1:18" x14ac:dyDescent="0.25">
      <c r="A11" s="15">
        <v>20200221</v>
      </c>
      <c r="B11" s="15">
        <v>104917</v>
      </c>
      <c r="C11" s="15">
        <v>4369537</v>
      </c>
      <c r="D11" s="15" t="s">
        <v>0</v>
      </c>
      <c r="E11" s="15">
        <v>32931</v>
      </c>
      <c r="F11" s="15" t="s">
        <v>17</v>
      </c>
      <c r="G11" s="15">
        <v>34.299999999999997</v>
      </c>
      <c r="I11" t="s">
        <v>29</v>
      </c>
      <c r="J11">
        <v>3786604</v>
      </c>
      <c r="K11" t="s">
        <v>27</v>
      </c>
      <c r="L11">
        <v>32911</v>
      </c>
      <c r="M11" t="s">
        <v>17</v>
      </c>
      <c r="N11">
        <v>10486</v>
      </c>
      <c r="O11">
        <v>2137674</v>
      </c>
      <c r="P11">
        <v>46.4</v>
      </c>
      <c r="Q11" s="6">
        <v>43881.63826388889</v>
      </c>
    </row>
    <row r="12" spans="1:18" x14ac:dyDescent="0.25">
      <c r="A12" s="15">
        <v>20200221</v>
      </c>
      <c r="B12" s="15">
        <v>220435</v>
      </c>
      <c r="C12" s="15">
        <v>4370260</v>
      </c>
      <c r="D12" s="15" t="s">
        <v>0</v>
      </c>
      <c r="E12" s="15">
        <v>32931</v>
      </c>
      <c r="F12" s="15" t="s">
        <v>17</v>
      </c>
      <c r="G12" s="15">
        <v>87.9</v>
      </c>
      <c r="I12" t="s">
        <v>29</v>
      </c>
      <c r="J12">
        <v>3786604</v>
      </c>
      <c r="K12" t="s">
        <v>27</v>
      </c>
      <c r="L12">
        <v>32911</v>
      </c>
      <c r="M12" t="s">
        <v>17</v>
      </c>
      <c r="N12">
        <v>10486</v>
      </c>
      <c r="O12">
        <v>2137674</v>
      </c>
      <c r="P12">
        <v>41.7</v>
      </c>
      <c r="Q12" s="6">
        <v>43881.63826388889</v>
      </c>
    </row>
    <row r="13" spans="1:18" x14ac:dyDescent="0.25">
      <c r="A13" s="15">
        <v>20200221</v>
      </c>
      <c r="B13" s="15">
        <v>111123</v>
      </c>
      <c r="C13" s="15">
        <v>4369541</v>
      </c>
      <c r="D13" s="15" t="s">
        <v>0</v>
      </c>
      <c r="E13" s="15">
        <v>32931</v>
      </c>
      <c r="F13" s="15" t="s">
        <v>17</v>
      </c>
      <c r="G13" s="15">
        <v>97.6</v>
      </c>
      <c r="I13" t="s">
        <v>29</v>
      </c>
      <c r="J13">
        <v>3786604</v>
      </c>
      <c r="K13" t="s">
        <v>27</v>
      </c>
      <c r="L13">
        <v>32911</v>
      </c>
      <c r="M13" t="s">
        <v>17</v>
      </c>
      <c r="N13">
        <v>10486</v>
      </c>
      <c r="O13">
        <v>2137674</v>
      </c>
      <c r="P13">
        <v>43.2</v>
      </c>
      <c r="Q13" s="6">
        <v>43881.638275462959</v>
      </c>
    </row>
    <row r="14" spans="1:18" x14ac:dyDescent="0.25">
      <c r="A14" s="15">
        <v>20200221</v>
      </c>
      <c r="B14" s="15">
        <v>124800</v>
      </c>
      <c r="C14" s="15">
        <v>4369708</v>
      </c>
      <c r="D14" s="15" t="s">
        <v>0</v>
      </c>
      <c r="E14" s="15">
        <v>32941</v>
      </c>
      <c r="F14" s="15" t="s">
        <v>17</v>
      </c>
      <c r="G14" s="15">
        <v>81.5</v>
      </c>
      <c r="I14" t="s">
        <v>29</v>
      </c>
      <c r="J14">
        <v>3786604</v>
      </c>
      <c r="K14" t="s">
        <v>27</v>
      </c>
      <c r="L14">
        <v>32911</v>
      </c>
      <c r="M14" t="s">
        <v>17</v>
      </c>
      <c r="N14">
        <v>10486</v>
      </c>
      <c r="O14">
        <v>2137674</v>
      </c>
      <c r="P14">
        <v>38.1</v>
      </c>
      <c r="Q14" s="6">
        <v>43881.638275462959</v>
      </c>
    </row>
    <row r="15" spans="1:18" x14ac:dyDescent="0.25">
      <c r="A15" s="15">
        <v>20200221</v>
      </c>
      <c r="B15" s="15">
        <v>164020</v>
      </c>
      <c r="C15" s="15">
        <v>4369930</v>
      </c>
      <c r="D15" s="15" t="s">
        <v>0</v>
      </c>
      <c r="E15" s="15">
        <v>32941</v>
      </c>
      <c r="F15" s="15" t="s">
        <v>17</v>
      </c>
      <c r="G15" s="15">
        <v>256.89999999999998</v>
      </c>
      <c r="I15" t="s">
        <v>29</v>
      </c>
      <c r="J15">
        <v>3786604</v>
      </c>
      <c r="K15" t="s">
        <v>27</v>
      </c>
      <c r="L15">
        <v>32911</v>
      </c>
      <c r="M15" t="s">
        <v>17</v>
      </c>
      <c r="N15">
        <v>10486</v>
      </c>
      <c r="O15">
        <v>2137674</v>
      </c>
      <c r="P15">
        <v>42</v>
      </c>
      <c r="Q15" s="6">
        <v>43881.638275462959</v>
      </c>
    </row>
    <row r="16" spans="1:18" x14ac:dyDescent="0.25">
      <c r="A16" s="15">
        <v>20200221</v>
      </c>
      <c r="B16" s="15">
        <v>220435</v>
      </c>
      <c r="C16" s="15">
        <v>4370260</v>
      </c>
      <c r="D16" s="15" t="s">
        <v>0</v>
      </c>
      <c r="E16" s="15">
        <v>32911</v>
      </c>
      <c r="F16" s="15" t="s">
        <v>17</v>
      </c>
      <c r="G16" s="15">
        <v>40.9</v>
      </c>
      <c r="I16" t="s">
        <v>29</v>
      </c>
      <c r="J16">
        <v>3786604</v>
      </c>
      <c r="K16" t="s">
        <v>27</v>
      </c>
      <c r="L16">
        <v>32911</v>
      </c>
      <c r="M16" t="s">
        <v>17</v>
      </c>
      <c r="N16">
        <v>10486</v>
      </c>
      <c r="O16">
        <v>2137674</v>
      </c>
      <c r="P16">
        <v>44</v>
      </c>
      <c r="Q16" s="6">
        <v>43881.638275462959</v>
      </c>
    </row>
    <row r="17" spans="1:18" x14ac:dyDescent="0.25">
      <c r="A17" s="15">
        <v>20200224</v>
      </c>
      <c r="B17" s="15">
        <v>104611</v>
      </c>
      <c r="C17" s="15">
        <v>4371268</v>
      </c>
      <c r="D17" s="15" t="s">
        <v>0</v>
      </c>
      <c r="E17" s="15">
        <v>32941</v>
      </c>
      <c r="F17" s="15" t="s">
        <v>17</v>
      </c>
      <c r="G17" s="15">
        <v>41.1</v>
      </c>
      <c r="I17" s="8" t="s">
        <v>29</v>
      </c>
      <c r="J17" s="8">
        <v>3786604</v>
      </c>
      <c r="K17" s="8" t="s">
        <v>27</v>
      </c>
      <c r="L17" s="8">
        <v>32911</v>
      </c>
      <c r="M17" s="8" t="s">
        <v>17</v>
      </c>
      <c r="N17" s="8">
        <v>10486</v>
      </c>
      <c r="O17" s="8">
        <v>2137674</v>
      </c>
      <c r="P17" s="8">
        <v>40.299999999999997</v>
      </c>
      <c r="Q17" s="14">
        <v>43881.638287037036</v>
      </c>
      <c r="R17" s="8">
        <f>SUM(P9:P17)</f>
        <v>378.99999999999994</v>
      </c>
    </row>
    <row r="18" spans="1:18" x14ac:dyDescent="0.25">
      <c r="A18" s="15">
        <v>20200221</v>
      </c>
      <c r="B18" s="15">
        <v>165550</v>
      </c>
      <c r="C18" s="15">
        <v>4369933</v>
      </c>
      <c r="D18" s="15" t="s">
        <v>0</v>
      </c>
      <c r="E18" s="15">
        <v>32941</v>
      </c>
      <c r="F18" s="15" t="s">
        <v>17</v>
      </c>
      <c r="G18" s="15">
        <v>38.700000000000003</v>
      </c>
      <c r="I18" s="15" t="s">
        <v>29</v>
      </c>
      <c r="J18" s="15">
        <v>3786665</v>
      </c>
      <c r="K18" s="15" t="s">
        <v>27</v>
      </c>
      <c r="L18" s="15">
        <v>32931</v>
      </c>
      <c r="M18" s="15" t="s">
        <v>17</v>
      </c>
      <c r="N18" s="15">
        <v>10521</v>
      </c>
      <c r="O18" s="15">
        <v>2137674</v>
      </c>
      <c r="P18" s="15">
        <v>34.4</v>
      </c>
      <c r="Q18" s="17">
        <v>43881.650856481479</v>
      </c>
      <c r="R18" s="15">
        <v>34.4</v>
      </c>
    </row>
    <row r="19" spans="1:18" x14ac:dyDescent="0.25">
      <c r="A19" s="15">
        <v>20200221</v>
      </c>
      <c r="B19" s="15">
        <v>174436</v>
      </c>
      <c r="C19" s="15">
        <v>4369999</v>
      </c>
      <c r="D19" s="15" t="s">
        <v>0</v>
      </c>
      <c r="E19" s="15">
        <v>32941</v>
      </c>
      <c r="F19" s="15" t="s">
        <v>17</v>
      </c>
      <c r="G19" s="15">
        <v>44.1</v>
      </c>
      <c r="I19" t="s">
        <v>29</v>
      </c>
      <c r="J19">
        <v>3786665</v>
      </c>
      <c r="K19" t="s">
        <v>27</v>
      </c>
      <c r="L19">
        <v>32931</v>
      </c>
      <c r="M19" t="s">
        <v>17</v>
      </c>
      <c r="N19">
        <v>10521</v>
      </c>
      <c r="O19">
        <v>2137674</v>
      </c>
      <c r="P19">
        <v>30.7</v>
      </c>
      <c r="Q19" s="6">
        <v>43881.87226851852</v>
      </c>
    </row>
    <row r="20" spans="1:18" x14ac:dyDescent="0.25">
      <c r="A20" s="15">
        <v>20200220</v>
      </c>
      <c r="B20" s="15">
        <v>205606</v>
      </c>
      <c r="C20" s="15">
        <v>4368058</v>
      </c>
      <c r="D20" s="15" t="s">
        <v>0</v>
      </c>
      <c r="E20" s="15">
        <v>32931</v>
      </c>
      <c r="F20" s="15" t="s">
        <v>17</v>
      </c>
      <c r="G20" s="15">
        <v>99.3</v>
      </c>
      <c r="I20" t="s">
        <v>29</v>
      </c>
      <c r="J20">
        <v>3786665</v>
      </c>
      <c r="K20" t="s">
        <v>27</v>
      </c>
      <c r="L20">
        <v>32931</v>
      </c>
      <c r="M20" t="s">
        <v>17</v>
      </c>
      <c r="N20">
        <v>10521</v>
      </c>
      <c r="O20">
        <v>2137674</v>
      </c>
      <c r="P20">
        <v>34.200000000000003</v>
      </c>
      <c r="Q20" s="6">
        <v>43881.87228009259</v>
      </c>
    </row>
    <row r="21" spans="1:18" x14ac:dyDescent="0.25">
      <c r="I21" s="15" t="s">
        <v>29</v>
      </c>
      <c r="J21" s="15">
        <v>3786665</v>
      </c>
      <c r="K21" s="15" t="s">
        <v>27</v>
      </c>
      <c r="L21" s="15">
        <v>32931</v>
      </c>
      <c r="M21" s="15" t="s">
        <v>17</v>
      </c>
      <c r="N21" s="15">
        <v>10521</v>
      </c>
      <c r="O21" s="15">
        <v>2137674</v>
      </c>
      <c r="P21" s="15">
        <v>34.4</v>
      </c>
      <c r="Q21" s="17">
        <v>43881.87228009259</v>
      </c>
      <c r="R21" s="15">
        <f>SUM(P19:P21)</f>
        <v>99.300000000000011</v>
      </c>
    </row>
    <row r="22" spans="1:18" x14ac:dyDescent="0.25">
      <c r="I22" t="s">
        <v>29</v>
      </c>
      <c r="J22">
        <v>3786665</v>
      </c>
      <c r="K22" t="s">
        <v>27</v>
      </c>
      <c r="L22">
        <v>32931</v>
      </c>
      <c r="M22" t="s">
        <v>17</v>
      </c>
      <c r="N22">
        <v>10521</v>
      </c>
      <c r="O22">
        <v>2137674</v>
      </c>
      <c r="P22">
        <v>33.6</v>
      </c>
      <c r="Q22" s="6">
        <v>43881.924641203703</v>
      </c>
    </row>
    <row r="23" spans="1:18" x14ac:dyDescent="0.25">
      <c r="I23" s="15" t="s">
        <v>29</v>
      </c>
      <c r="J23" s="15">
        <v>3786665</v>
      </c>
      <c r="K23" s="15" t="s">
        <v>27</v>
      </c>
      <c r="L23" s="15">
        <v>32931</v>
      </c>
      <c r="M23" s="15" t="s">
        <v>17</v>
      </c>
      <c r="N23" s="15">
        <v>10521</v>
      </c>
      <c r="O23" s="15">
        <v>2137674</v>
      </c>
      <c r="P23" s="15">
        <v>33.5</v>
      </c>
      <c r="Q23" s="17">
        <v>43881.92465277778</v>
      </c>
      <c r="R23" s="15">
        <f>SUM(P22:P23)</f>
        <v>67.099999999999994</v>
      </c>
    </row>
    <row r="24" spans="1:18" x14ac:dyDescent="0.25">
      <c r="I24" s="15" t="s">
        <v>29</v>
      </c>
      <c r="J24" s="15">
        <v>3786700</v>
      </c>
      <c r="K24" s="15" t="s">
        <v>27</v>
      </c>
      <c r="L24" s="15">
        <v>32931</v>
      </c>
      <c r="M24" s="15" t="s">
        <v>17</v>
      </c>
      <c r="N24" s="15">
        <v>10526</v>
      </c>
      <c r="O24" s="15">
        <v>2137674</v>
      </c>
      <c r="P24" s="15">
        <v>42.1</v>
      </c>
      <c r="Q24" s="17">
        <v>43881.941701388889</v>
      </c>
      <c r="R24" s="15">
        <v>42.1</v>
      </c>
    </row>
    <row r="25" spans="1:18" x14ac:dyDescent="0.25">
      <c r="I25" s="15" t="s">
        <v>29</v>
      </c>
      <c r="J25" s="15">
        <v>3786700</v>
      </c>
      <c r="K25" s="15" t="s">
        <v>27</v>
      </c>
      <c r="L25" s="15">
        <v>32931</v>
      </c>
      <c r="M25" s="15" t="s">
        <v>17</v>
      </c>
      <c r="N25" s="15">
        <v>10526</v>
      </c>
      <c r="O25" s="15">
        <v>2137674</v>
      </c>
      <c r="P25" s="15">
        <v>34.299999999999997</v>
      </c>
      <c r="Q25" s="17">
        <v>43882.450879629629</v>
      </c>
      <c r="R25" s="15">
        <v>34.299999999999997</v>
      </c>
    </row>
    <row r="26" spans="1:18" x14ac:dyDescent="0.25">
      <c r="I26" t="s">
        <v>29</v>
      </c>
      <c r="J26">
        <v>3786700</v>
      </c>
      <c r="K26" t="s">
        <v>27</v>
      </c>
      <c r="L26">
        <v>32931</v>
      </c>
      <c r="M26" t="s">
        <v>17</v>
      </c>
      <c r="N26">
        <v>10526</v>
      </c>
      <c r="O26">
        <v>2137674</v>
      </c>
      <c r="P26">
        <v>30.6</v>
      </c>
      <c r="Q26" s="6">
        <v>43882.466226851851</v>
      </c>
    </row>
    <row r="27" spans="1:18" x14ac:dyDescent="0.25">
      <c r="I27" t="s">
        <v>29</v>
      </c>
      <c r="J27">
        <v>3786700</v>
      </c>
      <c r="K27" t="s">
        <v>27</v>
      </c>
      <c r="L27">
        <v>32931</v>
      </c>
      <c r="M27" t="s">
        <v>17</v>
      </c>
      <c r="N27">
        <v>10526</v>
      </c>
      <c r="O27">
        <v>2137674</v>
      </c>
      <c r="P27">
        <v>33.9</v>
      </c>
      <c r="Q27" s="6">
        <v>43882.466238425928</v>
      </c>
    </row>
    <row r="28" spans="1:18" x14ac:dyDescent="0.25">
      <c r="I28" s="15" t="s">
        <v>29</v>
      </c>
      <c r="J28" s="15">
        <v>3786700</v>
      </c>
      <c r="K28" s="15" t="s">
        <v>27</v>
      </c>
      <c r="L28" s="15">
        <v>32931</v>
      </c>
      <c r="M28" s="15" t="s">
        <v>17</v>
      </c>
      <c r="N28" s="15">
        <v>10526</v>
      </c>
      <c r="O28" s="15">
        <v>2137674</v>
      </c>
      <c r="P28" s="15">
        <v>33.1</v>
      </c>
      <c r="Q28" s="17">
        <v>43882.466238425928</v>
      </c>
      <c r="R28" s="15">
        <f>SUM(P26:P28)</f>
        <v>97.6</v>
      </c>
    </row>
    <row r="29" spans="1:18" x14ac:dyDescent="0.25">
      <c r="I29" t="s">
        <v>29</v>
      </c>
      <c r="J29">
        <v>3786728</v>
      </c>
      <c r="K29" t="s">
        <v>27</v>
      </c>
      <c r="L29">
        <v>32941</v>
      </c>
      <c r="M29" t="s">
        <v>17</v>
      </c>
      <c r="N29">
        <v>10565</v>
      </c>
      <c r="O29">
        <v>2137674</v>
      </c>
      <c r="P29">
        <v>43.7</v>
      </c>
      <c r="Q29" s="6">
        <v>43882.533321759256</v>
      </c>
    </row>
    <row r="30" spans="1:18" x14ac:dyDescent="0.25">
      <c r="I30" s="15" t="s">
        <v>29</v>
      </c>
      <c r="J30" s="15">
        <v>3786728</v>
      </c>
      <c r="K30" s="15" t="s">
        <v>27</v>
      </c>
      <c r="L30" s="15">
        <v>32941</v>
      </c>
      <c r="M30" s="15" t="s">
        <v>17</v>
      </c>
      <c r="N30" s="15">
        <v>10565</v>
      </c>
      <c r="O30" s="15">
        <v>2137674</v>
      </c>
      <c r="P30" s="15">
        <v>37.799999999999997</v>
      </c>
      <c r="Q30" s="17">
        <v>43882.533321759256</v>
      </c>
      <c r="R30" s="15">
        <f>SUM(P29:P30)</f>
        <v>81.5</v>
      </c>
    </row>
    <row r="31" spans="1:18" x14ac:dyDescent="0.25">
      <c r="I31" s="15" t="s">
        <v>29</v>
      </c>
      <c r="J31" s="15">
        <v>3786700</v>
      </c>
      <c r="K31" s="15" t="s">
        <v>27</v>
      </c>
      <c r="L31" s="15">
        <v>32931</v>
      </c>
      <c r="M31" s="15" t="s">
        <v>17</v>
      </c>
      <c r="N31" s="15">
        <v>10526</v>
      </c>
      <c r="O31" s="15">
        <v>2137674</v>
      </c>
      <c r="P31" s="15">
        <v>33</v>
      </c>
      <c r="Q31" s="17">
        <v>43882.54314814815</v>
      </c>
      <c r="R31" s="15">
        <v>33</v>
      </c>
    </row>
    <row r="32" spans="1:18" x14ac:dyDescent="0.25">
      <c r="I32" t="s">
        <v>29</v>
      </c>
      <c r="J32">
        <v>3786728</v>
      </c>
      <c r="K32" t="s">
        <v>27</v>
      </c>
      <c r="L32">
        <v>32941</v>
      </c>
      <c r="M32" t="s">
        <v>17</v>
      </c>
      <c r="N32">
        <v>10565</v>
      </c>
      <c r="O32">
        <v>2137674</v>
      </c>
      <c r="P32">
        <v>45.4</v>
      </c>
      <c r="Q32" s="6">
        <v>43882.694641203707</v>
      </c>
    </row>
    <row r="33" spans="9:18" x14ac:dyDescent="0.25">
      <c r="I33" t="s">
        <v>29</v>
      </c>
      <c r="J33">
        <v>3786728</v>
      </c>
      <c r="K33" t="s">
        <v>27</v>
      </c>
      <c r="L33">
        <v>32941</v>
      </c>
      <c r="M33" t="s">
        <v>17</v>
      </c>
      <c r="N33">
        <v>10565</v>
      </c>
      <c r="O33">
        <v>2137674</v>
      </c>
      <c r="P33">
        <v>40.6</v>
      </c>
      <c r="Q33" s="6">
        <v>43882.694652777776</v>
      </c>
    </row>
    <row r="34" spans="9:18" x14ac:dyDescent="0.25">
      <c r="I34" t="s">
        <v>29</v>
      </c>
      <c r="J34">
        <v>3786728</v>
      </c>
      <c r="K34" t="s">
        <v>27</v>
      </c>
      <c r="L34">
        <v>32941</v>
      </c>
      <c r="M34" t="s">
        <v>17</v>
      </c>
      <c r="N34">
        <v>10565</v>
      </c>
      <c r="O34">
        <v>2137674</v>
      </c>
      <c r="P34">
        <v>43.9</v>
      </c>
      <c r="Q34" s="6">
        <v>43882.694652777776</v>
      </c>
    </row>
    <row r="35" spans="9:18" x14ac:dyDescent="0.25">
      <c r="I35" t="s">
        <v>29</v>
      </c>
      <c r="J35">
        <v>3786728</v>
      </c>
      <c r="K35" t="s">
        <v>27</v>
      </c>
      <c r="L35">
        <v>32941</v>
      </c>
      <c r="M35" t="s">
        <v>17</v>
      </c>
      <c r="N35">
        <v>10565</v>
      </c>
      <c r="O35">
        <v>2137674</v>
      </c>
      <c r="P35">
        <v>45.1</v>
      </c>
      <c r="Q35" s="6">
        <v>43882.694652777776</v>
      </c>
    </row>
    <row r="36" spans="9:18" x14ac:dyDescent="0.25">
      <c r="I36" t="s">
        <v>29</v>
      </c>
      <c r="J36">
        <v>3786728</v>
      </c>
      <c r="K36" t="s">
        <v>27</v>
      </c>
      <c r="L36">
        <v>32941</v>
      </c>
      <c r="M36" t="s">
        <v>17</v>
      </c>
      <c r="N36">
        <v>10565</v>
      </c>
      <c r="O36">
        <v>2137674</v>
      </c>
      <c r="P36">
        <v>40.1</v>
      </c>
      <c r="Q36" s="6">
        <v>43882.694664351853</v>
      </c>
    </row>
    <row r="37" spans="9:18" x14ac:dyDescent="0.25">
      <c r="I37" s="15" t="s">
        <v>29</v>
      </c>
      <c r="J37" s="15">
        <v>3786728</v>
      </c>
      <c r="K37" s="15" t="s">
        <v>27</v>
      </c>
      <c r="L37" s="15">
        <v>32941</v>
      </c>
      <c r="M37" s="15" t="s">
        <v>17</v>
      </c>
      <c r="N37" s="15">
        <v>10565</v>
      </c>
      <c r="O37" s="15">
        <v>2137674</v>
      </c>
      <c r="P37" s="15">
        <v>41.8</v>
      </c>
      <c r="Q37" s="17">
        <v>43882.694664351853</v>
      </c>
      <c r="R37" s="15">
        <f>SUM(P32:P37)</f>
        <v>256.89999999999998</v>
      </c>
    </row>
    <row r="38" spans="9:18" x14ac:dyDescent="0.25">
      <c r="I38" s="15" t="s">
        <v>29</v>
      </c>
      <c r="J38" s="15">
        <v>3786728</v>
      </c>
      <c r="K38" s="15" t="s">
        <v>27</v>
      </c>
      <c r="L38" s="15">
        <v>32941</v>
      </c>
      <c r="M38" s="15" t="s">
        <v>17</v>
      </c>
      <c r="N38" s="15">
        <v>10565</v>
      </c>
      <c r="O38" s="15">
        <v>2137674</v>
      </c>
      <c r="P38" s="15">
        <v>38.700000000000003</v>
      </c>
      <c r="Q38" s="15">
        <v>43882.705428240741</v>
      </c>
      <c r="R38" s="15">
        <v>38.700000000000003</v>
      </c>
    </row>
    <row r="39" spans="9:18" x14ac:dyDescent="0.25">
      <c r="I39" s="15" t="s">
        <v>29</v>
      </c>
      <c r="J39" s="15">
        <v>3786728</v>
      </c>
      <c r="K39" s="15" t="s">
        <v>27</v>
      </c>
      <c r="L39" s="15">
        <v>32941</v>
      </c>
      <c r="M39" s="15" t="s">
        <v>17</v>
      </c>
      <c r="N39" s="15">
        <v>10565</v>
      </c>
      <c r="O39" s="15">
        <v>2137674</v>
      </c>
      <c r="P39" s="15">
        <v>44.1</v>
      </c>
      <c r="Q39" s="17">
        <v>43882.739305555559</v>
      </c>
      <c r="R39" s="15">
        <v>44.1</v>
      </c>
    </row>
    <row r="40" spans="9:18" x14ac:dyDescent="0.25">
      <c r="I40" s="15" t="s">
        <v>29</v>
      </c>
      <c r="J40" s="15">
        <v>3786728</v>
      </c>
      <c r="K40" s="15" t="s">
        <v>27</v>
      </c>
      <c r="L40" s="15">
        <v>32941</v>
      </c>
      <c r="M40" s="15" t="s">
        <v>17</v>
      </c>
      <c r="N40" s="15">
        <v>10565</v>
      </c>
      <c r="O40" s="15">
        <v>2137674</v>
      </c>
      <c r="P40" s="15">
        <v>39.700000000000003</v>
      </c>
      <c r="Q40" s="17">
        <v>43882.740104166667</v>
      </c>
      <c r="R40" s="15">
        <v>39.700000000000003</v>
      </c>
    </row>
    <row r="41" spans="9:18" x14ac:dyDescent="0.25">
      <c r="I41" s="15" t="s">
        <v>29</v>
      </c>
      <c r="J41" s="15">
        <v>3786728</v>
      </c>
      <c r="K41" s="15" t="s">
        <v>27</v>
      </c>
      <c r="L41" s="15">
        <v>32941</v>
      </c>
      <c r="M41" s="15" t="s">
        <v>17</v>
      </c>
      <c r="N41" s="15">
        <v>10565</v>
      </c>
      <c r="O41" s="15">
        <v>2137674</v>
      </c>
      <c r="P41" s="15">
        <v>40.299999999999997</v>
      </c>
      <c r="Q41" s="17">
        <v>43882.764918981484</v>
      </c>
      <c r="R41" s="15">
        <v>40.299999999999997</v>
      </c>
    </row>
    <row r="42" spans="9:18" x14ac:dyDescent="0.25">
      <c r="I42" t="s">
        <v>29</v>
      </c>
      <c r="J42">
        <v>3786604</v>
      </c>
      <c r="K42" t="s">
        <v>27</v>
      </c>
      <c r="L42">
        <v>32911</v>
      </c>
      <c r="M42" t="s">
        <v>17</v>
      </c>
      <c r="N42">
        <v>10486</v>
      </c>
      <c r="O42">
        <v>2137674</v>
      </c>
      <c r="P42">
        <v>42.6</v>
      </c>
      <c r="Q42" s="6">
        <v>43882.899351851855</v>
      </c>
    </row>
    <row r="43" spans="9:18" x14ac:dyDescent="0.25">
      <c r="I43" t="s">
        <v>29</v>
      </c>
      <c r="J43">
        <v>3786604</v>
      </c>
      <c r="K43" t="s">
        <v>27</v>
      </c>
      <c r="L43">
        <v>32911</v>
      </c>
      <c r="M43" t="s">
        <v>17</v>
      </c>
      <c r="N43">
        <v>10486</v>
      </c>
      <c r="O43">
        <v>2137674</v>
      </c>
      <c r="P43">
        <v>39.6</v>
      </c>
      <c r="Q43" s="6">
        <v>43882.899363425924</v>
      </c>
    </row>
    <row r="44" spans="9:18" x14ac:dyDescent="0.25">
      <c r="I44" t="s">
        <v>29</v>
      </c>
      <c r="J44">
        <v>3786604</v>
      </c>
      <c r="K44" t="s">
        <v>27</v>
      </c>
      <c r="L44">
        <v>32911</v>
      </c>
      <c r="M44" t="s">
        <v>17</v>
      </c>
      <c r="N44">
        <v>10486</v>
      </c>
      <c r="O44">
        <v>2137674</v>
      </c>
      <c r="P44">
        <v>42.6</v>
      </c>
      <c r="Q44" s="6">
        <v>43882.899363425924</v>
      </c>
    </row>
    <row r="45" spans="9:18" x14ac:dyDescent="0.25">
      <c r="I45" s="15" t="s">
        <v>29</v>
      </c>
      <c r="J45" s="15">
        <v>3786604</v>
      </c>
      <c r="K45" s="15" t="s">
        <v>27</v>
      </c>
      <c r="L45" s="15">
        <v>32911</v>
      </c>
      <c r="M45" s="15" t="s">
        <v>17</v>
      </c>
      <c r="N45" s="15">
        <v>10486</v>
      </c>
      <c r="O45" s="15">
        <v>2137674</v>
      </c>
      <c r="P45" s="15">
        <v>42.6</v>
      </c>
      <c r="Q45" s="17">
        <v>43882.899375000001</v>
      </c>
      <c r="R45" s="15">
        <f>SUM(P42:P45)</f>
        <v>167.4</v>
      </c>
    </row>
    <row r="46" spans="9:18" x14ac:dyDescent="0.25">
      <c r="I46" t="s">
        <v>29</v>
      </c>
      <c r="J46">
        <v>3786604</v>
      </c>
      <c r="K46" t="s">
        <v>27</v>
      </c>
      <c r="L46">
        <v>32931</v>
      </c>
      <c r="M46" t="s">
        <v>17</v>
      </c>
      <c r="N46">
        <v>10486</v>
      </c>
      <c r="O46">
        <v>2137674</v>
      </c>
      <c r="P46">
        <v>34.4</v>
      </c>
      <c r="Q46" s="6">
        <v>43882.91982638889</v>
      </c>
    </row>
    <row r="47" spans="9:18" x14ac:dyDescent="0.25">
      <c r="I47" s="15" t="s">
        <v>29</v>
      </c>
      <c r="J47" s="15">
        <v>3786604</v>
      </c>
      <c r="K47" s="15" t="s">
        <v>27</v>
      </c>
      <c r="L47" s="15">
        <v>32931</v>
      </c>
      <c r="M47" s="15" t="s">
        <v>17</v>
      </c>
      <c r="N47" s="15">
        <v>10486</v>
      </c>
      <c r="O47" s="15">
        <v>2137674</v>
      </c>
      <c r="P47" s="15">
        <v>53.5</v>
      </c>
      <c r="Q47" s="17">
        <v>43882.91982638889</v>
      </c>
      <c r="R47" s="15">
        <f>SUM(P46:P47)</f>
        <v>87.9</v>
      </c>
    </row>
    <row r="48" spans="9:18" x14ac:dyDescent="0.25">
      <c r="I48" s="15" t="s">
        <v>29</v>
      </c>
      <c r="J48" s="15">
        <v>3786604</v>
      </c>
      <c r="K48" s="15" t="s">
        <v>27</v>
      </c>
      <c r="L48" s="15">
        <v>32911</v>
      </c>
      <c r="M48" s="15" t="s">
        <v>17</v>
      </c>
      <c r="N48" s="15">
        <v>10486</v>
      </c>
      <c r="O48" s="15">
        <v>2137674</v>
      </c>
      <c r="P48" s="15">
        <v>40.9</v>
      </c>
      <c r="Q48" s="17">
        <v>43882.91982638889</v>
      </c>
      <c r="R48" s="15">
        <v>40.9</v>
      </c>
    </row>
    <row r="49" spans="9:18" x14ac:dyDescent="0.25">
      <c r="I49" t="s">
        <v>29</v>
      </c>
      <c r="J49">
        <v>3786796</v>
      </c>
      <c r="K49" t="s">
        <v>27</v>
      </c>
      <c r="L49">
        <v>32941</v>
      </c>
      <c r="M49" t="s">
        <v>17</v>
      </c>
      <c r="N49">
        <v>10607</v>
      </c>
      <c r="O49">
        <v>2137674</v>
      </c>
      <c r="P49">
        <v>41.7</v>
      </c>
      <c r="Q49">
        <v>43885.369062500002</v>
      </c>
    </row>
    <row r="50" spans="9:18" x14ac:dyDescent="0.25">
      <c r="I50" t="s">
        <v>29</v>
      </c>
      <c r="J50">
        <v>3786796</v>
      </c>
      <c r="K50" t="s">
        <v>27</v>
      </c>
      <c r="L50">
        <v>32941</v>
      </c>
      <c r="M50" t="s">
        <v>17</v>
      </c>
      <c r="N50">
        <v>10607</v>
      </c>
      <c r="O50">
        <v>2137674</v>
      </c>
      <c r="P50">
        <v>42.8</v>
      </c>
      <c r="Q50" s="6">
        <v>43885.369062500002</v>
      </c>
    </row>
    <row r="51" spans="9:18" x14ac:dyDescent="0.25">
      <c r="I51" t="s">
        <v>29</v>
      </c>
      <c r="J51">
        <v>3786796</v>
      </c>
      <c r="K51" t="s">
        <v>27</v>
      </c>
      <c r="L51">
        <v>32941</v>
      </c>
      <c r="M51" t="s">
        <v>17</v>
      </c>
      <c r="N51">
        <v>10607</v>
      </c>
      <c r="O51">
        <v>2137674</v>
      </c>
      <c r="P51">
        <v>44.5</v>
      </c>
      <c r="Q51" s="6">
        <v>43885.369062500002</v>
      </c>
    </row>
    <row r="52" spans="9:18" x14ac:dyDescent="0.25">
      <c r="I52" t="s">
        <v>29</v>
      </c>
      <c r="J52">
        <v>3786796</v>
      </c>
      <c r="K52" t="s">
        <v>27</v>
      </c>
      <c r="L52">
        <v>32941</v>
      </c>
      <c r="M52" t="s">
        <v>17</v>
      </c>
      <c r="N52">
        <v>10607</v>
      </c>
      <c r="O52">
        <v>2137674</v>
      </c>
      <c r="P52">
        <v>44.2</v>
      </c>
      <c r="Q52" s="6">
        <v>43885.369062500002</v>
      </c>
    </row>
    <row r="53" spans="9:18" x14ac:dyDescent="0.25">
      <c r="I53" s="15" t="s">
        <v>29</v>
      </c>
      <c r="J53" s="15">
        <v>3786796</v>
      </c>
      <c r="K53" s="15" t="s">
        <v>27</v>
      </c>
      <c r="L53" s="15">
        <v>32941</v>
      </c>
      <c r="M53" s="15" t="s">
        <v>17</v>
      </c>
      <c r="N53" s="15">
        <v>10607</v>
      </c>
      <c r="O53" s="15">
        <v>2137674</v>
      </c>
      <c r="P53" s="15">
        <v>38.9</v>
      </c>
      <c r="Q53" s="17">
        <v>43885.369062500002</v>
      </c>
      <c r="R53" s="15">
        <f>SUM(P49:P53)</f>
        <v>212.1</v>
      </c>
    </row>
    <row r="54" spans="9:18" x14ac:dyDescent="0.25">
      <c r="I54" s="15" t="s">
        <v>29</v>
      </c>
      <c r="J54" s="15">
        <v>3786728</v>
      </c>
      <c r="K54" s="15" t="s">
        <v>27</v>
      </c>
      <c r="L54" s="15">
        <v>32941</v>
      </c>
      <c r="M54" s="15" t="s">
        <v>17</v>
      </c>
      <c r="N54" s="15">
        <v>10565</v>
      </c>
      <c r="O54" s="15">
        <v>2137674</v>
      </c>
      <c r="P54" s="15">
        <v>41.1</v>
      </c>
      <c r="Q54" s="17">
        <v>43885.448738425926</v>
      </c>
      <c r="R54" s="15">
        <v>41.1</v>
      </c>
    </row>
    <row r="55" spans="9:18" x14ac:dyDescent="0.25">
      <c r="I55" t="s">
        <v>29</v>
      </c>
      <c r="J55">
        <v>3786796</v>
      </c>
      <c r="K55" t="s">
        <v>27</v>
      </c>
      <c r="L55">
        <v>32941</v>
      </c>
      <c r="M55" t="s">
        <v>17</v>
      </c>
      <c r="N55">
        <v>10607</v>
      </c>
      <c r="O55">
        <v>2137674</v>
      </c>
      <c r="P55">
        <v>43.9</v>
      </c>
      <c r="Q55" s="6">
        <v>43885.523506944446</v>
      </c>
    </row>
    <row r="56" spans="9:18" x14ac:dyDescent="0.25">
      <c r="I56" t="s">
        <v>29</v>
      </c>
      <c r="J56">
        <v>3786796</v>
      </c>
      <c r="K56" t="s">
        <v>27</v>
      </c>
      <c r="L56">
        <v>32941</v>
      </c>
      <c r="M56" t="s">
        <v>17</v>
      </c>
      <c r="N56">
        <v>10607</v>
      </c>
      <c r="O56">
        <v>2137674</v>
      </c>
      <c r="P56">
        <v>37.4</v>
      </c>
      <c r="Q56" s="6">
        <v>43885.523506944446</v>
      </c>
    </row>
    <row r="57" spans="9:18" x14ac:dyDescent="0.25">
      <c r="I57" t="s">
        <v>29</v>
      </c>
      <c r="J57">
        <v>3786796</v>
      </c>
      <c r="K57" t="s">
        <v>27</v>
      </c>
      <c r="L57">
        <v>32941</v>
      </c>
      <c r="M57" t="s">
        <v>17</v>
      </c>
      <c r="N57">
        <v>10607</v>
      </c>
      <c r="O57">
        <v>2137674</v>
      </c>
      <c r="P57">
        <v>41.5</v>
      </c>
      <c r="Q57" s="6">
        <v>43885.523506944446</v>
      </c>
    </row>
    <row r="58" spans="9:18" x14ac:dyDescent="0.25">
      <c r="I58" s="19" t="s">
        <v>29</v>
      </c>
      <c r="J58" s="19">
        <v>3786796</v>
      </c>
      <c r="K58" s="19" t="s">
        <v>27</v>
      </c>
      <c r="L58" s="19">
        <v>32941</v>
      </c>
      <c r="M58" s="19" t="s">
        <v>17</v>
      </c>
      <c r="N58" s="19">
        <v>10607</v>
      </c>
      <c r="O58" s="19">
        <v>2137674</v>
      </c>
      <c r="P58" s="19">
        <v>42.5</v>
      </c>
      <c r="Q58" s="20">
        <v>43885.523506944446</v>
      </c>
      <c r="R58" s="19">
        <f>SUM(P55:P58)</f>
        <v>165.3</v>
      </c>
    </row>
    <row r="59" spans="9:18" x14ac:dyDescent="0.25">
      <c r="I59" t="s">
        <v>29</v>
      </c>
      <c r="J59">
        <v>3786796</v>
      </c>
      <c r="K59" t="s">
        <v>27</v>
      </c>
      <c r="L59">
        <v>32941</v>
      </c>
      <c r="M59" t="s">
        <v>17</v>
      </c>
      <c r="N59">
        <v>10607</v>
      </c>
      <c r="O59">
        <v>2137674</v>
      </c>
      <c r="P59">
        <v>43.3</v>
      </c>
      <c r="Q59" s="6">
        <v>43885.616481481484</v>
      </c>
    </row>
    <row r="60" spans="9:18" x14ac:dyDescent="0.25">
      <c r="I60" s="19" t="s">
        <v>29</v>
      </c>
      <c r="J60" s="19">
        <v>3786796</v>
      </c>
      <c r="K60" s="19" t="s">
        <v>27</v>
      </c>
      <c r="L60" s="19">
        <v>32941</v>
      </c>
      <c r="M60" s="19" t="s">
        <v>17</v>
      </c>
      <c r="N60" s="19">
        <v>10607</v>
      </c>
      <c r="O60" s="19">
        <v>2137674</v>
      </c>
      <c r="P60" s="19">
        <v>45</v>
      </c>
      <c r="Q60" s="20">
        <v>43885.616481481484</v>
      </c>
      <c r="R60" s="19">
        <f>SUM(P59:P60)</f>
        <v>88.3</v>
      </c>
    </row>
    <row r="61" spans="9:18" x14ac:dyDescent="0.25">
      <c r="I61" s="19" t="s">
        <v>29</v>
      </c>
      <c r="J61" s="19">
        <v>3786728</v>
      </c>
      <c r="K61" s="19" t="s">
        <v>27</v>
      </c>
      <c r="L61" s="19">
        <v>32941</v>
      </c>
      <c r="M61" s="19" t="s">
        <v>17</v>
      </c>
      <c r="N61" s="19">
        <v>10565</v>
      </c>
      <c r="O61" s="19">
        <v>2137674</v>
      </c>
      <c r="P61" s="19">
        <v>47.2</v>
      </c>
      <c r="Q61" s="20">
        <v>43885.618067129632</v>
      </c>
      <c r="R61" s="19">
        <v>47.2</v>
      </c>
    </row>
    <row r="62" spans="9:18" x14ac:dyDescent="0.25">
      <c r="I62" s="19" t="s">
        <v>29</v>
      </c>
      <c r="J62" s="19">
        <v>3786839</v>
      </c>
      <c r="K62" s="19" t="s">
        <v>27</v>
      </c>
      <c r="L62" s="19">
        <v>32941</v>
      </c>
      <c r="M62" s="19" t="s">
        <v>17</v>
      </c>
      <c r="N62" s="19">
        <v>10637</v>
      </c>
      <c r="O62" s="19">
        <v>2137674</v>
      </c>
      <c r="P62" s="19">
        <v>47.2</v>
      </c>
      <c r="Q62" s="20">
        <v>43885.657314814816</v>
      </c>
      <c r="R62" s="19">
        <v>47.2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55"/>
  <sheetViews>
    <sheetView workbookViewId="0">
      <selection activeCell="A27" sqref="A27:G70"/>
    </sheetView>
  </sheetViews>
  <sheetFormatPr defaultRowHeight="15" x14ac:dyDescent="0.25"/>
  <cols>
    <col min="5" max="5" width="11.42578125" bestFit="1" customWidth="1"/>
    <col min="12" max="12" width="6" bestFit="1" customWidth="1"/>
    <col min="17" max="17" width="5" bestFit="1" customWidth="1"/>
    <col min="18" max="18" width="14.85546875" bestFit="1" customWidth="1"/>
  </cols>
  <sheetData>
    <row r="2" spans="1:20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35</v>
      </c>
      <c r="Q2" t="s">
        <v>36</v>
      </c>
      <c r="R2" t="s">
        <v>37</v>
      </c>
    </row>
    <row r="3" spans="1:20" x14ac:dyDescent="0.25">
      <c r="A3" s="15">
        <v>20200220</v>
      </c>
      <c r="B3" s="15">
        <v>220644</v>
      </c>
      <c r="C3" s="15">
        <v>4368134</v>
      </c>
      <c r="D3" s="15" t="s">
        <v>0</v>
      </c>
      <c r="E3" s="15">
        <v>32931</v>
      </c>
      <c r="F3" s="15" t="s">
        <v>19</v>
      </c>
      <c r="G3" s="15">
        <v>65.2</v>
      </c>
      <c r="I3" s="15" t="s">
        <v>29</v>
      </c>
      <c r="J3" s="15">
        <v>3786612</v>
      </c>
      <c r="K3" s="15" t="s">
        <v>27</v>
      </c>
      <c r="L3" s="15">
        <v>32911</v>
      </c>
      <c r="M3" s="15" t="s">
        <v>19</v>
      </c>
      <c r="N3" s="15">
        <v>10487</v>
      </c>
      <c r="O3" s="15">
        <v>2137674</v>
      </c>
      <c r="P3" s="15" t="s">
        <v>30</v>
      </c>
      <c r="Q3" s="15">
        <v>42</v>
      </c>
      <c r="R3" s="17">
        <v>43881.490914351853</v>
      </c>
      <c r="S3" s="15">
        <v>42</v>
      </c>
    </row>
    <row r="4" spans="1:20" x14ac:dyDescent="0.25">
      <c r="A4" s="15">
        <v>20200221</v>
      </c>
      <c r="B4" s="15">
        <v>195412</v>
      </c>
      <c r="C4" s="15">
        <v>4370096</v>
      </c>
      <c r="D4" s="15" t="s">
        <v>0</v>
      </c>
      <c r="E4" s="15">
        <v>32941</v>
      </c>
      <c r="F4" s="15" t="s">
        <v>19</v>
      </c>
      <c r="G4" s="15">
        <v>43.3</v>
      </c>
      <c r="I4" s="15" t="s">
        <v>29</v>
      </c>
      <c r="J4" s="15">
        <v>3786525</v>
      </c>
      <c r="K4" s="15" t="s">
        <v>27</v>
      </c>
      <c r="L4" s="15">
        <v>32901</v>
      </c>
      <c r="M4" s="15" t="s">
        <v>19</v>
      </c>
      <c r="N4" s="15">
        <v>10411</v>
      </c>
      <c r="O4" s="15">
        <v>2137674</v>
      </c>
      <c r="P4" s="15" t="s">
        <v>30</v>
      </c>
      <c r="Q4" s="15">
        <v>37.6</v>
      </c>
      <c r="R4" s="17">
        <v>43881.493460648147</v>
      </c>
      <c r="S4" s="15">
        <v>37.6</v>
      </c>
    </row>
    <row r="5" spans="1:20" x14ac:dyDescent="0.25">
      <c r="A5" s="15">
        <v>20200224</v>
      </c>
      <c r="B5" s="15">
        <v>84401</v>
      </c>
      <c r="C5" s="15">
        <v>4371176</v>
      </c>
      <c r="D5" s="15" t="s">
        <v>0</v>
      </c>
      <c r="E5" s="15">
        <v>32941</v>
      </c>
      <c r="F5" s="15" t="s">
        <v>19</v>
      </c>
      <c r="G5" s="15">
        <v>82.9</v>
      </c>
      <c r="I5" t="s">
        <v>29</v>
      </c>
      <c r="J5">
        <v>3786575</v>
      </c>
      <c r="K5" t="s">
        <v>27</v>
      </c>
      <c r="L5">
        <v>32911</v>
      </c>
      <c r="M5" t="s">
        <v>19</v>
      </c>
      <c r="N5">
        <v>10447</v>
      </c>
      <c r="O5">
        <v>2137674</v>
      </c>
      <c r="P5" t="s">
        <v>30</v>
      </c>
      <c r="Q5">
        <v>41.6</v>
      </c>
      <c r="R5" s="6">
        <v>43881.545914351853</v>
      </c>
    </row>
    <row r="6" spans="1:20" x14ac:dyDescent="0.25">
      <c r="A6" s="15">
        <v>20200220</v>
      </c>
      <c r="B6" s="15">
        <v>115035</v>
      </c>
      <c r="C6" s="15">
        <v>4367321</v>
      </c>
      <c r="D6" s="15" t="s">
        <v>0</v>
      </c>
      <c r="E6" s="15">
        <v>32901</v>
      </c>
      <c r="F6" s="15" t="s">
        <v>19</v>
      </c>
      <c r="G6" s="15">
        <v>37.6</v>
      </c>
      <c r="I6" s="15" t="s">
        <v>29</v>
      </c>
      <c r="J6" s="15">
        <v>3786575</v>
      </c>
      <c r="K6" s="15" t="s">
        <v>27</v>
      </c>
      <c r="L6" s="15">
        <v>32911</v>
      </c>
      <c r="M6" s="15" t="s">
        <v>19</v>
      </c>
      <c r="N6" s="15">
        <v>10447</v>
      </c>
      <c r="O6" s="15">
        <v>2137674</v>
      </c>
      <c r="P6" s="15" t="s">
        <v>30</v>
      </c>
      <c r="Q6" s="15">
        <v>38.799999999999997</v>
      </c>
      <c r="R6" s="17">
        <v>43881.545914351853</v>
      </c>
      <c r="S6" s="15">
        <f>SUM(Q5:Q6)</f>
        <v>80.400000000000006</v>
      </c>
    </row>
    <row r="7" spans="1:20" x14ac:dyDescent="0.25">
      <c r="A7" s="15">
        <v>20200221</v>
      </c>
      <c r="B7" s="15">
        <v>94403</v>
      </c>
      <c r="C7" s="15">
        <v>4369512</v>
      </c>
      <c r="D7" s="15" t="s">
        <v>0</v>
      </c>
      <c r="E7" s="15">
        <v>32861</v>
      </c>
      <c r="F7" s="15" t="s">
        <v>19</v>
      </c>
      <c r="G7" s="15">
        <v>10</v>
      </c>
      <c r="I7" t="s">
        <v>29</v>
      </c>
      <c r="J7">
        <v>3786666</v>
      </c>
      <c r="K7" t="s">
        <v>27</v>
      </c>
      <c r="L7">
        <v>32931</v>
      </c>
      <c r="M7" t="s">
        <v>19</v>
      </c>
      <c r="N7">
        <v>10522</v>
      </c>
      <c r="O7">
        <v>2137674</v>
      </c>
      <c r="P7" t="s">
        <v>30</v>
      </c>
      <c r="Q7">
        <v>33</v>
      </c>
      <c r="R7" s="6">
        <v>43881.838449074072</v>
      </c>
    </row>
    <row r="8" spans="1:20" x14ac:dyDescent="0.25">
      <c r="A8" s="15">
        <v>20200220</v>
      </c>
      <c r="B8" s="15">
        <v>232755</v>
      </c>
      <c r="C8" s="15">
        <v>4368230</v>
      </c>
      <c r="D8" s="15" t="s">
        <v>0</v>
      </c>
      <c r="E8" s="15">
        <v>32931</v>
      </c>
      <c r="F8" s="15" t="s">
        <v>19</v>
      </c>
      <c r="G8" s="15">
        <v>65.2</v>
      </c>
      <c r="I8" t="s">
        <v>29</v>
      </c>
      <c r="J8">
        <v>3786666</v>
      </c>
      <c r="K8" t="s">
        <v>27</v>
      </c>
      <c r="L8">
        <v>32931</v>
      </c>
      <c r="M8" t="s">
        <v>19</v>
      </c>
      <c r="N8">
        <v>10522</v>
      </c>
      <c r="O8">
        <v>2137674</v>
      </c>
      <c r="P8" t="s">
        <v>30</v>
      </c>
      <c r="Q8">
        <v>34.299999999999997</v>
      </c>
      <c r="R8" s="6">
        <v>43881.838460648149</v>
      </c>
    </row>
    <row r="9" spans="1:20" x14ac:dyDescent="0.25">
      <c r="A9" s="15">
        <v>20200221</v>
      </c>
      <c r="B9" s="15">
        <v>172131</v>
      </c>
      <c r="C9" s="15">
        <v>4369943</v>
      </c>
      <c r="D9" s="15" t="s">
        <v>0</v>
      </c>
      <c r="E9" s="15">
        <v>32941</v>
      </c>
      <c r="F9" s="15" t="s">
        <v>19</v>
      </c>
      <c r="G9" s="15">
        <v>247.9</v>
      </c>
      <c r="I9" s="15" t="s">
        <v>29</v>
      </c>
      <c r="J9" s="15">
        <v>3786666</v>
      </c>
      <c r="K9" s="15" t="s">
        <v>27</v>
      </c>
      <c r="L9" s="15">
        <v>32931</v>
      </c>
      <c r="M9" s="15" t="s">
        <v>19</v>
      </c>
      <c r="N9" s="15">
        <v>10522</v>
      </c>
      <c r="O9" s="15">
        <v>2137674</v>
      </c>
      <c r="P9" s="15" t="s">
        <v>30</v>
      </c>
      <c r="Q9" s="15">
        <v>33.299999999999997</v>
      </c>
      <c r="R9" s="17">
        <v>43881.838460648149</v>
      </c>
      <c r="S9" s="15">
        <f>SUM(Q7:Q9)</f>
        <v>100.6</v>
      </c>
    </row>
    <row r="10" spans="1:20" x14ac:dyDescent="0.25">
      <c r="A10" s="15">
        <v>20200220</v>
      </c>
      <c r="B10" s="15">
        <v>130607</v>
      </c>
      <c r="C10" s="15">
        <v>4367399</v>
      </c>
      <c r="D10" s="15" t="s">
        <v>0</v>
      </c>
      <c r="E10" s="15">
        <v>32911</v>
      </c>
      <c r="F10" s="15" t="s">
        <v>19</v>
      </c>
      <c r="G10" s="15">
        <v>80.400000000000006</v>
      </c>
      <c r="I10" t="s">
        <v>29</v>
      </c>
      <c r="J10">
        <v>3786666</v>
      </c>
      <c r="K10" t="s">
        <v>27</v>
      </c>
      <c r="L10">
        <v>32931</v>
      </c>
      <c r="M10" t="s">
        <v>19</v>
      </c>
      <c r="N10">
        <v>10522</v>
      </c>
      <c r="O10">
        <v>2137674</v>
      </c>
      <c r="P10" t="s">
        <v>30</v>
      </c>
      <c r="Q10">
        <v>31.2</v>
      </c>
      <c r="R10" s="6">
        <v>43881.921319444446</v>
      </c>
    </row>
    <row r="11" spans="1:20" x14ac:dyDescent="0.25">
      <c r="A11" s="15">
        <v>20200221</v>
      </c>
      <c r="B11" s="15">
        <v>172202</v>
      </c>
      <c r="C11" s="15">
        <v>4369944</v>
      </c>
      <c r="D11" s="15" t="s">
        <v>0</v>
      </c>
      <c r="E11" s="15">
        <v>32911</v>
      </c>
      <c r="F11" s="15" t="s">
        <v>19</v>
      </c>
      <c r="G11" s="15">
        <v>85.2</v>
      </c>
      <c r="I11" s="15" t="s">
        <v>29</v>
      </c>
      <c r="J11" s="15">
        <v>3786666</v>
      </c>
      <c r="K11" s="15" t="s">
        <v>27</v>
      </c>
      <c r="L11" s="15">
        <v>32931</v>
      </c>
      <c r="M11" s="15" t="s">
        <v>19</v>
      </c>
      <c r="N11" s="15">
        <v>10522</v>
      </c>
      <c r="O11" s="15">
        <v>2137674</v>
      </c>
      <c r="P11" s="15" t="s">
        <v>30</v>
      </c>
      <c r="Q11" s="15">
        <v>34</v>
      </c>
      <c r="R11" s="17">
        <v>43881.921331018515</v>
      </c>
      <c r="S11" s="15">
        <f>SUM(Q10:Q11)</f>
        <v>65.2</v>
      </c>
      <c r="T11" t="s">
        <v>40</v>
      </c>
    </row>
    <row r="12" spans="1:20" x14ac:dyDescent="0.25">
      <c r="A12" s="15">
        <v>20200224</v>
      </c>
      <c r="B12" s="15">
        <v>80905</v>
      </c>
      <c r="C12" s="15">
        <v>4371165</v>
      </c>
      <c r="D12" s="15" t="s">
        <v>0</v>
      </c>
      <c r="E12" s="15">
        <v>32941</v>
      </c>
      <c r="F12" s="15" t="s">
        <v>19</v>
      </c>
      <c r="G12" s="15">
        <v>171.2</v>
      </c>
      <c r="I12" t="s">
        <v>29</v>
      </c>
      <c r="J12">
        <v>3786666</v>
      </c>
      <c r="K12" t="s">
        <v>27</v>
      </c>
      <c r="L12">
        <v>32931</v>
      </c>
      <c r="M12" t="s">
        <v>19</v>
      </c>
      <c r="N12">
        <v>10522</v>
      </c>
      <c r="O12">
        <v>2137674</v>
      </c>
      <c r="P12" t="s">
        <v>30</v>
      </c>
      <c r="Q12">
        <v>31.2</v>
      </c>
      <c r="R12" s="6">
        <v>43881.977708333332</v>
      </c>
    </row>
    <row r="13" spans="1:20" x14ac:dyDescent="0.25">
      <c r="A13" s="15">
        <v>20200221</v>
      </c>
      <c r="B13" s="15">
        <v>213418</v>
      </c>
      <c r="C13" s="15">
        <v>4370251</v>
      </c>
      <c r="D13" s="15" t="s">
        <v>0</v>
      </c>
      <c r="E13" s="15">
        <v>32941</v>
      </c>
      <c r="F13" s="15" t="s">
        <v>19</v>
      </c>
      <c r="G13" s="15">
        <v>167</v>
      </c>
      <c r="I13" s="15" t="s">
        <v>29</v>
      </c>
      <c r="J13" s="15">
        <v>3786666</v>
      </c>
      <c r="K13" s="15" t="s">
        <v>27</v>
      </c>
      <c r="L13" s="15">
        <v>32931</v>
      </c>
      <c r="M13" s="15" t="s">
        <v>19</v>
      </c>
      <c r="N13" s="15">
        <v>10522</v>
      </c>
      <c r="O13" s="15">
        <v>2137674</v>
      </c>
      <c r="P13" s="15" t="s">
        <v>30</v>
      </c>
      <c r="Q13" s="15">
        <v>34</v>
      </c>
      <c r="R13" s="17">
        <v>43881.977708333332</v>
      </c>
      <c r="S13" s="15">
        <f>SUM(Q12:Q13)</f>
        <v>65.2</v>
      </c>
      <c r="T13" t="s">
        <v>40</v>
      </c>
    </row>
    <row r="14" spans="1:20" x14ac:dyDescent="0.25">
      <c r="A14" s="15">
        <v>20200221</v>
      </c>
      <c r="B14" s="15">
        <v>195412</v>
      </c>
      <c r="C14" s="15">
        <v>4370096</v>
      </c>
      <c r="D14" s="15" t="s">
        <v>0</v>
      </c>
      <c r="E14" s="15">
        <v>32891</v>
      </c>
      <c r="F14" s="15" t="s">
        <v>19</v>
      </c>
      <c r="G14" s="15">
        <v>33.9</v>
      </c>
      <c r="I14" s="15" t="s">
        <v>29</v>
      </c>
      <c r="J14" s="15">
        <v>3786666</v>
      </c>
      <c r="K14" s="15" t="s">
        <v>27</v>
      </c>
      <c r="L14" s="15">
        <v>32931</v>
      </c>
      <c r="M14" s="15" t="s">
        <v>19</v>
      </c>
      <c r="N14" s="15">
        <v>10522</v>
      </c>
      <c r="O14" s="15">
        <v>2137674</v>
      </c>
      <c r="P14" s="15" t="s">
        <v>30</v>
      </c>
      <c r="Q14" s="15">
        <v>33</v>
      </c>
      <c r="R14" s="17">
        <v>43881.985891203702</v>
      </c>
      <c r="S14" s="15">
        <v>33</v>
      </c>
    </row>
    <row r="15" spans="1:20" x14ac:dyDescent="0.25">
      <c r="A15" s="15">
        <v>20200221</v>
      </c>
      <c r="B15" s="15">
        <v>121037</v>
      </c>
      <c r="C15" s="15">
        <v>4369638</v>
      </c>
      <c r="D15" s="15" t="s">
        <v>0</v>
      </c>
      <c r="E15" s="15">
        <v>32891</v>
      </c>
      <c r="F15" s="15" t="s">
        <v>19</v>
      </c>
      <c r="G15" s="15">
        <v>33.9</v>
      </c>
      <c r="I15" s="15" t="s">
        <v>29</v>
      </c>
      <c r="J15" s="15">
        <v>3786316</v>
      </c>
      <c r="K15" s="15" t="s">
        <v>27</v>
      </c>
      <c r="L15" s="15">
        <v>32861</v>
      </c>
      <c r="M15" s="15" t="s">
        <v>19</v>
      </c>
      <c r="N15" s="15">
        <v>10234</v>
      </c>
      <c r="O15" s="15">
        <v>2137674</v>
      </c>
      <c r="P15" s="15" t="s">
        <v>30</v>
      </c>
      <c r="Q15" s="15">
        <v>10</v>
      </c>
      <c r="R15" s="17">
        <v>43882.405590277776</v>
      </c>
      <c r="S15" s="15">
        <v>10</v>
      </c>
    </row>
    <row r="16" spans="1:20" x14ac:dyDescent="0.25">
      <c r="A16" s="15">
        <v>20200220</v>
      </c>
      <c r="B16" s="15">
        <v>114655</v>
      </c>
      <c r="C16" s="15">
        <v>4367320</v>
      </c>
      <c r="D16" s="15" t="s">
        <v>0</v>
      </c>
      <c r="E16" s="15">
        <v>32911</v>
      </c>
      <c r="F16" s="15" t="s">
        <v>19</v>
      </c>
      <c r="G16" s="15">
        <v>42</v>
      </c>
      <c r="I16" s="15" t="s">
        <v>29</v>
      </c>
      <c r="J16" s="15">
        <v>3786635</v>
      </c>
      <c r="K16" s="15" t="s">
        <v>27</v>
      </c>
      <c r="L16" s="15">
        <v>32891</v>
      </c>
      <c r="M16" s="15" t="s">
        <v>19</v>
      </c>
      <c r="N16" s="15">
        <v>10527</v>
      </c>
      <c r="O16" s="15">
        <v>2137674</v>
      </c>
      <c r="P16" s="15" t="s">
        <v>30</v>
      </c>
      <c r="Q16" s="15">
        <v>26.5</v>
      </c>
      <c r="R16" s="17">
        <v>43882.438090277778</v>
      </c>
      <c r="S16" s="15">
        <v>26.5</v>
      </c>
    </row>
    <row r="17" spans="1:19" x14ac:dyDescent="0.25">
      <c r="A17" s="15">
        <v>20200224</v>
      </c>
      <c r="B17" s="15">
        <v>81020</v>
      </c>
      <c r="C17" s="15">
        <v>4371167</v>
      </c>
      <c r="D17" s="15" t="s">
        <v>0</v>
      </c>
      <c r="E17" s="15">
        <v>32941</v>
      </c>
      <c r="F17" s="15" t="s">
        <v>19</v>
      </c>
      <c r="G17" s="15">
        <v>169</v>
      </c>
      <c r="I17" s="15" t="s">
        <v>29</v>
      </c>
      <c r="J17" s="15">
        <v>3786635</v>
      </c>
      <c r="K17" s="15" t="s">
        <v>27</v>
      </c>
      <c r="L17" s="15">
        <v>32891</v>
      </c>
      <c r="M17" s="15" t="s">
        <v>19</v>
      </c>
      <c r="N17" s="15">
        <v>10527</v>
      </c>
      <c r="O17" s="15">
        <v>2137674</v>
      </c>
      <c r="P17" s="15" t="s">
        <v>30</v>
      </c>
      <c r="Q17" s="15">
        <v>33.9</v>
      </c>
      <c r="R17" s="17">
        <v>43882.507372685184</v>
      </c>
      <c r="S17" s="15">
        <v>33.9</v>
      </c>
    </row>
    <row r="18" spans="1:19" x14ac:dyDescent="0.25">
      <c r="A18" s="15">
        <v>20200220</v>
      </c>
      <c r="B18" s="15">
        <v>233941</v>
      </c>
      <c r="C18" s="15">
        <v>4368240</v>
      </c>
      <c r="D18" s="15" t="s">
        <v>0</v>
      </c>
      <c r="E18" s="15">
        <v>32931</v>
      </c>
      <c r="F18" s="15" t="s">
        <v>19</v>
      </c>
      <c r="G18" s="15">
        <v>33</v>
      </c>
      <c r="I18" s="15" t="s">
        <v>29</v>
      </c>
      <c r="J18" s="15">
        <v>3786721</v>
      </c>
      <c r="K18" s="15" t="s">
        <v>27</v>
      </c>
      <c r="L18" s="15">
        <v>32941</v>
      </c>
      <c r="M18" s="15" t="s">
        <v>19</v>
      </c>
      <c r="N18" s="15">
        <v>10566</v>
      </c>
      <c r="O18" s="15">
        <v>2137674</v>
      </c>
      <c r="P18" s="15" t="s">
        <v>30</v>
      </c>
      <c r="Q18" s="15">
        <v>43.8</v>
      </c>
      <c r="R18" s="17">
        <v>43882.706238425926</v>
      </c>
      <c r="S18" s="15">
        <v>43.8</v>
      </c>
    </row>
    <row r="19" spans="1:19" x14ac:dyDescent="0.25">
      <c r="A19" s="15">
        <v>20200220</v>
      </c>
      <c r="B19" s="15">
        <v>200723</v>
      </c>
      <c r="C19" s="15">
        <v>4368003</v>
      </c>
      <c r="D19" s="15" t="s">
        <v>0</v>
      </c>
      <c r="E19" s="15">
        <v>32931</v>
      </c>
      <c r="F19" s="15" t="s">
        <v>19</v>
      </c>
      <c r="G19" s="15">
        <v>100.6</v>
      </c>
      <c r="I19" s="15" t="s">
        <v>29</v>
      </c>
      <c r="J19" s="15">
        <v>3786612</v>
      </c>
      <c r="K19" s="15" t="s">
        <v>27</v>
      </c>
      <c r="L19" s="15">
        <v>32911</v>
      </c>
      <c r="M19" s="15" t="s">
        <v>19</v>
      </c>
      <c r="N19" s="15">
        <v>10487</v>
      </c>
      <c r="O19" s="15">
        <v>2137674</v>
      </c>
      <c r="P19" s="15" t="s">
        <v>30</v>
      </c>
      <c r="Q19" s="15">
        <v>41.5</v>
      </c>
      <c r="R19" s="17">
        <v>43882.722546296296</v>
      </c>
      <c r="S19" s="15">
        <v>41.5</v>
      </c>
    </row>
    <row r="20" spans="1:19" x14ac:dyDescent="0.25">
      <c r="A20" s="15">
        <v>20200221</v>
      </c>
      <c r="B20" s="15">
        <v>172449</v>
      </c>
      <c r="C20" s="15">
        <v>4369946</v>
      </c>
      <c r="D20" s="15" t="s">
        <v>0</v>
      </c>
      <c r="E20" s="15">
        <v>32911</v>
      </c>
      <c r="F20" s="15" t="s">
        <v>19</v>
      </c>
      <c r="G20" s="15">
        <v>38.9</v>
      </c>
      <c r="I20" t="s">
        <v>29</v>
      </c>
      <c r="J20">
        <v>3786721</v>
      </c>
      <c r="K20" t="s">
        <v>27</v>
      </c>
      <c r="L20">
        <v>32941</v>
      </c>
      <c r="M20" t="s">
        <v>19</v>
      </c>
      <c r="N20">
        <v>10566</v>
      </c>
      <c r="O20">
        <v>2137674</v>
      </c>
      <c r="P20" t="s">
        <v>30</v>
      </c>
      <c r="Q20">
        <v>40.9</v>
      </c>
      <c r="R20" s="6">
        <v>43882.723252314812</v>
      </c>
    </row>
    <row r="21" spans="1:19" x14ac:dyDescent="0.25">
      <c r="A21" s="15">
        <v>20200221</v>
      </c>
      <c r="B21" s="15">
        <v>103051</v>
      </c>
      <c r="C21" s="15">
        <v>4369531</v>
      </c>
      <c r="D21" s="15" t="s">
        <v>0</v>
      </c>
      <c r="E21" s="15">
        <v>32891</v>
      </c>
      <c r="F21" s="15" t="s">
        <v>19</v>
      </c>
      <c r="G21" s="15">
        <v>26.5</v>
      </c>
      <c r="I21" t="s">
        <v>29</v>
      </c>
      <c r="J21">
        <v>3786721</v>
      </c>
      <c r="K21" t="s">
        <v>27</v>
      </c>
      <c r="L21">
        <v>32941</v>
      </c>
      <c r="M21" t="s">
        <v>19</v>
      </c>
      <c r="N21">
        <v>10566</v>
      </c>
      <c r="O21">
        <v>2137674</v>
      </c>
      <c r="P21" t="s">
        <v>30</v>
      </c>
      <c r="Q21">
        <v>40.4</v>
      </c>
      <c r="R21" s="6">
        <v>43882.723252314812</v>
      </c>
    </row>
    <row r="22" spans="1:19" x14ac:dyDescent="0.25">
      <c r="A22" s="15">
        <v>20200224</v>
      </c>
      <c r="B22" s="15">
        <v>65145</v>
      </c>
      <c r="C22" s="15">
        <v>4371089</v>
      </c>
      <c r="D22" s="15" t="s">
        <v>0</v>
      </c>
      <c r="E22" s="15">
        <v>32941</v>
      </c>
      <c r="F22" s="15" t="s">
        <v>19</v>
      </c>
      <c r="G22" s="15">
        <v>39.200000000000003</v>
      </c>
      <c r="I22" t="s">
        <v>29</v>
      </c>
      <c r="J22">
        <v>3786721</v>
      </c>
      <c r="K22" t="s">
        <v>27</v>
      </c>
      <c r="L22">
        <v>32941</v>
      </c>
      <c r="M22" t="s">
        <v>19</v>
      </c>
      <c r="N22">
        <v>10566</v>
      </c>
      <c r="O22">
        <v>2137674</v>
      </c>
      <c r="P22" t="s">
        <v>30</v>
      </c>
      <c r="Q22">
        <v>42.7</v>
      </c>
      <c r="R22" s="6">
        <v>43882.723252314812</v>
      </c>
    </row>
    <row r="23" spans="1:19" x14ac:dyDescent="0.25">
      <c r="A23" s="15">
        <v>20200221</v>
      </c>
      <c r="B23" s="15">
        <v>172308</v>
      </c>
      <c r="C23" s="15">
        <v>4369945</v>
      </c>
      <c r="D23" s="15" t="s">
        <v>0</v>
      </c>
      <c r="E23" s="15">
        <v>32911</v>
      </c>
      <c r="F23" s="15" t="s">
        <v>19</v>
      </c>
      <c r="G23" s="15">
        <v>40.799999999999997</v>
      </c>
      <c r="I23" t="s">
        <v>29</v>
      </c>
      <c r="J23">
        <v>3786721</v>
      </c>
      <c r="K23" t="s">
        <v>27</v>
      </c>
      <c r="L23">
        <v>32941</v>
      </c>
      <c r="M23" t="s">
        <v>19</v>
      </c>
      <c r="N23">
        <v>10566</v>
      </c>
      <c r="O23">
        <v>2137674</v>
      </c>
      <c r="P23" t="s">
        <v>30</v>
      </c>
      <c r="Q23">
        <v>40.5</v>
      </c>
      <c r="R23" s="6">
        <v>43882.723263888889</v>
      </c>
    </row>
    <row r="24" spans="1:19" x14ac:dyDescent="0.25">
      <c r="A24" s="15">
        <v>20200221</v>
      </c>
      <c r="B24" s="15">
        <v>172028</v>
      </c>
      <c r="C24" s="15">
        <v>4369942</v>
      </c>
      <c r="D24" s="15" t="s">
        <v>0</v>
      </c>
      <c r="E24" s="15">
        <v>32911</v>
      </c>
      <c r="F24" s="15" t="s">
        <v>19</v>
      </c>
      <c r="G24" s="15">
        <v>41.5</v>
      </c>
      <c r="I24" t="s">
        <v>29</v>
      </c>
      <c r="J24">
        <v>3786721</v>
      </c>
      <c r="K24" t="s">
        <v>27</v>
      </c>
      <c r="L24">
        <v>32941</v>
      </c>
      <c r="M24" t="s">
        <v>19</v>
      </c>
      <c r="N24">
        <v>10566</v>
      </c>
      <c r="O24">
        <v>2137674</v>
      </c>
      <c r="P24" t="s">
        <v>30</v>
      </c>
      <c r="Q24">
        <v>41.7</v>
      </c>
      <c r="R24" s="6">
        <v>43882.723263888889</v>
      </c>
    </row>
    <row r="25" spans="1:19" x14ac:dyDescent="0.25">
      <c r="A25" s="15">
        <v>20200224</v>
      </c>
      <c r="B25" s="15">
        <v>93238</v>
      </c>
      <c r="C25" s="15">
        <v>4371223</v>
      </c>
      <c r="D25" s="15" t="s">
        <v>0</v>
      </c>
      <c r="E25" s="15">
        <v>32941</v>
      </c>
      <c r="F25" s="15" t="s">
        <v>19</v>
      </c>
      <c r="G25" s="15">
        <v>78.5</v>
      </c>
      <c r="I25" s="15" t="s">
        <v>29</v>
      </c>
      <c r="J25" s="15">
        <v>3786721</v>
      </c>
      <c r="K25" s="15" t="s">
        <v>27</v>
      </c>
      <c r="L25" s="15">
        <v>32941</v>
      </c>
      <c r="M25" s="15" t="s">
        <v>19</v>
      </c>
      <c r="N25" s="15">
        <v>10566</v>
      </c>
      <c r="O25" s="15">
        <v>2137674</v>
      </c>
      <c r="P25" s="15" t="s">
        <v>30</v>
      </c>
      <c r="Q25" s="15">
        <v>41.7</v>
      </c>
      <c r="R25" s="17">
        <v>43882.723263888889</v>
      </c>
      <c r="S25" s="15">
        <f>SUM(Q20:Q25)</f>
        <v>247.89999999999998</v>
      </c>
    </row>
    <row r="26" spans="1:19" x14ac:dyDescent="0.25">
      <c r="A26" s="15">
        <v>20200221</v>
      </c>
      <c r="B26" s="15">
        <v>165700</v>
      </c>
      <c r="C26" s="15">
        <v>4369935</v>
      </c>
      <c r="D26" s="15" t="s">
        <v>0</v>
      </c>
      <c r="E26" s="15">
        <v>32941</v>
      </c>
      <c r="F26" s="15" t="s">
        <v>19</v>
      </c>
      <c r="G26" s="15">
        <v>43.8</v>
      </c>
      <c r="I26" t="s">
        <v>29</v>
      </c>
      <c r="J26">
        <v>3786612</v>
      </c>
      <c r="K26" t="s">
        <v>27</v>
      </c>
      <c r="L26">
        <v>32911</v>
      </c>
      <c r="M26" t="s">
        <v>19</v>
      </c>
      <c r="N26">
        <v>10487</v>
      </c>
      <c r="O26">
        <v>2137674</v>
      </c>
      <c r="P26" t="s">
        <v>30</v>
      </c>
      <c r="Q26">
        <v>42.4</v>
      </c>
      <c r="R26" s="6">
        <v>43882.723611111112</v>
      </c>
    </row>
    <row r="27" spans="1:19" x14ac:dyDescent="0.25">
      <c r="I27" s="15" t="s">
        <v>29</v>
      </c>
      <c r="J27" s="15">
        <v>3786612</v>
      </c>
      <c r="K27" s="15" t="s">
        <v>27</v>
      </c>
      <c r="L27" s="15">
        <v>32911</v>
      </c>
      <c r="M27" s="15" t="s">
        <v>19</v>
      </c>
      <c r="N27" s="15">
        <v>10487</v>
      </c>
      <c r="O27" s="15">
        <v>2137674</v>
      </c>
      <c r="P27" s="15" t="s">
        <v>30</v>
      </c>
      <c r="Q27" s="15">
        <v>42.8</v>
      </c>
      <c r="R27" s="17">
        <v>43882.723622685182</v>
      </c>
      <c r="S27" s="15">
        <f>SUM(Q26:Q27)</f>
        <v>85.199999999999989</v>
      </c>
    </row>
    <row r="28" spans="1:19" x14ac:dyDescent="0.25">
      <c r="I28" s="15" t="s">
        <v>29</v>
      </c>
      <c r="J28" s="15">
        <v>3786612</v>
      </c>
      <c r="K28" s="15" t="s">
        <v>27</v>
      </c>
      <c r="L28" s="15">
        <v>32911</v>
      </c>
      <c r="M28" s="15" t="s">
        <v>19</v>
      </c>
      <c r="N28" s="15">
        <v>10487</v>
      </c>
      <c r="O28" s="15">
        <v>2137674</v>
      </c>
      <c r="P28" s="15" t="s">
        <v>30</v>
      </c>
      <c r="Q28" s="15">
        <v>40.799999999999997</v>
      </c>
      <c r="R28" s="17">
        <v>43882.724398148152</v>
      </c>
      <c r="S28" s="15">
        <v>40.799999999999997</v>
      </c>
    </row>
    <row r="29" spans="1:19" x14ac:dyDescent="0.25">
      <c r="I29" s="15" t="s">
        <v>29</v>
      </c>
      <c r="J29" s="15">
        <v>3786612</v>
      </c>
      <c r="K29" s="15" t="s">
        <v>27</v>
      </c>
      <c r="L29" s="15">
        <v>32911</v>
      </c>
      <c r="M29" s="15" t="s">
        <v>19</v>
      </c>
      <c r="N29" s="15">
        <v>10487</v>
      </c>
      <c r="O29" s="15">
        <v>2137674</v>
      </c>
      <c r="P29" s="15" t="s">
        <v>30</v>
      </c>
      <c r="Q29" s="15">
        <v>38.9</v>
      </c>
      <c r="R29" s="17">
        <v>43882.72556712963</v>
      </c>
      <c r="S29" s="15">
        <v>38.9</v>
      </c>
    </row>
    <row r="30" spans="1:19" x14ac:dyDescent="0.25">
      <c r="I30" s="15" t="s">
        <v>29</v>
      </c>
      <c r="J30" s="15">
        <v>3786721</v>
      </c>
      <c r="K30" s="15" t="s">
        <v>27</v>
      </c>
      <c r="L30" s="15">
        <v>32941</v>
      </c>
      <c r="M30" s="15" t="s">
        <v>19</v>
      </c>
      <c r="N30" s="15">
        <v>10566</v>
      </c>
      <c r="O30" s="15">
        <v>2137674</v>
      </c>
      <c r="P30" s="15" t="s">
        <v>30</v>
      </c>
      <c r="Q30" s="15">
        <v>43.3</v>
      </c>
      <c r="R30" s="17">
        <v>43882.829282407409</v>
      </c>
      <c r="S30" s="15">
        <v>43.3</v>
      </c>
    </row>
    <row r="31" spans="1:19" x14ac:dyDescent="0.25">
      <c r="I31" s="15" t="s">
        <v>29</v>
      </c>
      <c r="J31" s="15">
        <v>3786721</v>
      </c>
      <c r="K31" s="15" t="s">
        <v>27</v>
      </c>
      <c r="L31" s="15">
        <v>32891</v>
      </c>
      <c r="M31" s="15" t="s">
        <v>19</v>
      </c>
      <c r="N31" s="15">
        <v>10566</v>
      </c>
      <c r="O31" s="15">
        <v>2137674</v>
      </c>
      <c r="P31" s="15" t="s">
        <v>30</v>
      </c>
      <c r="Q31" s="15">
        <v>33.9</v>
      </c>
      <c r="R31" s="17">
        <v>43882.829293981478</v>
      </c>
      <c r="S31" s="15">
        <v>33.9</v>
      </c>
    </row>
    <row r="32" spans="1:19" x14ac:dyDescent="0.25">
      <c r="I32" t="s">
        <v>29</v>
      </c>
      <c r="J32">
        <v>3786773</v>
      </c>
      <c r="K32" t="s">
        <v>27</v>
      </c>
      <c r="L32">
        <v>32941</v>
      </c>
      <c r="M32" t="s">
        <v>19</v>
      </c>
      <c r="N32">
        <v>10608</v>
      </c>
      <c r="O32">
        <v>2137674</v>
      </c>
      <c r="P32" t="s">
        <v>30</v>
      </c>
      <c r="Q32">
        <v>40.700000000000003</v>
      </c>
      <c r="R32" s="6">
        <v>43882.89880787037</v>
      </c>
    </row>
    <row r="33" spans="9:19" x14ac:dyDescent="0.25">
      <c r="I33" t="s">
        <v>29</v>
      </c>
      <c r="J33">
        <v>3786773</v>
      </c>
      <c r="K33" t="s">
        <v>27</v>
      </c>
      <c r="L33">
        <v>32941</v>
      </c>
      <c r="M33" t="s">
        <v>19</v>
      </c>
      <c r="N33">
        <v>10608</v>
      </c>
      <c r="O33">
        <v>2137674</v>
      </c>
      <c r="P33" t="s">
        <v>30</v>
      </c>
      <c r="Q33">
        <v>44.3</v>
      </c>
      <c r="R33" s="6">
        <v>43882.89880787037</v>
      </c>
    </row>
    <row r="34" spans="9:19" x14ac:dyDescent="0.25">
      <c r="I34" t="s">
        <v>29</v>
      </c>
      <c r="J34">
        <v>3786773</v>
      </c>
      <c r="K34" t="s">
        <v>27</v>
      </c>
      <c r="L34">
        <v>32941</v>
      </c>
      <c r="M34" t="s">
        <v>19</v>
      </c>
      <c r="N34">
        <v>10608</v>
      </c>
      <c r="O34">
        <v>2137674</v>
      </c>
      <c r="P34" t="s">
        <v>30</v>
      </c>
      <c r="Q34">
        <v>39.1</v>
      </c>
      <c r="R34" s="6">
        <v>43882.89880787037</v>
      </c>
    </row>
    <row r="35" spans="9:19" x14ac:dyDescent="0.25">
      <c r="I35" s="15" t="s">
        <v>29</v>
      </c>
      <c r="J35" s="15">
        <v>3786773</v>
      </c>
      <c r="K35" s="15" t="s">
        <v>27</v>
      </c>
      <c r="L35" s="15">
        <v>32941</v>
      </c>
      <c r="M35" s="15" t="s">
        <v>19</v>
      </c>
      <c r="N35" s="15">
        <v>10608</v>
      </c>
      <c r="O35" s="15">
        <v>2137674</v>
      </c>
      <c r="P35" s="15" t="s">
        <v>30</v>
      </c>
      <c r="Q35" s="15">
        <v>42.9</v>
      </c>
      <c r="R35" s="17">
        <v>43882.898819444446</v>
      </c>
      <c r="S35" s="15">
        <f>SUM(Q32:Q35)</f>
        <v>167</v>
      </c>
    </row>
    <row r="36" spans="9:19" x14ac:dyDescent="0.25">
      <c r="I36" s="15" t="s">
        <v>29</v>
      </c>
      <c r="J36" s="15">
        <v>3786773</v>
      </c>
      <c r="K36" s="15" t="s">
        <v>27</v>
      </c>
      <c r="L36" s="15">
        <v>32941</v>
      </c>
      <c r="M36" s="15" t="s">
        <v>19</v>
      </c>
      <c r="N36" s="15">
        <v>10608</v>
      </c>
      <c r="O36" s="15">
        <v>2137674</v>
      </c>
      <c r="P36" s="15" t="s">
        <v>30</v>
      </c>
      <c r="Q36" s="15">
        <v>39.200000000000003</v>
      </c>
      <c r="R36" s="17">
        <v>43885.285937499997</v>
      </c>
      <c r="S36" s="15">
        <v>39.200000000000003</v>
      </c>
    </row>
    <row r="37" spans="9:19" x14ac:dyDescent="0.25">
      <c r="I37" t="s">
        <v>29</v>
      </c>
      <c r="J37">
        <v>3786773</v>
      </c>
      <c r="K37" t="s">
        <v>27</v>
      </c>
      <c r="L37">
        <v>32941</v>
      </c>
      <c r="M37" t="s">
        <v>19</v>
      </c>
      <c r="N37">
        <v>10608</v>
      </c>
      <c r="O37">
        <v>2137674</v>
      </c>
      <c r="P37" t="s">
        <v>30</v>
      </c>
      <c r="Q37">
        <v>43.9</v>
      </c>
      <c r="R37" s="6">
        <v>43885.339594907404</v>
      </c>
    </row>
    <row r="38" spans="9:19" x14ac:dyDescent="0.25">
      <c r="I38" t="s">
        <v>29</v>
      </c>
      <c r="J38">
        <v>3786773</v>
      </c>
      <c r="K38" t="s">
        <v>27</v>
      </c>
      <c r="L38">
        <v>32941</v>
      </c>
      <c r="M38" t="s">
        <v>19</v>
      </c>
      <c r="N38">
        <v>10608</v>
      </c>
      <c r="O38">
        <v>2137674</v>
      </c>
      <c r="P38" t="s">
        <v>30</v>
      </c>
      <c r="Q38">
        <v>43.3</v>
      </c>
      <c r="R38" s="6">
        <v>43885.339606481481</v>
      </c>
    </row>
    <row r="39" spans="9:19" x14ac:dyDescent="0.25">
      <c r="I39" t="s">
        <v>29</v>
      </c>
      <c r="J39">
        <v>3786773</v>
      </c>
      <c r="K39" t="s">
        <v>27</v>
      </c>
      <c r="L39">
        <v>32941</v>
      </c>
      <c r="M39" t="s">
        <v>19</v>
      </c>
      <c r="N39">
        <v>10608</v>
      </c>
      <c r="O39">
        <v>2137674</v>
      </c>
      <c r="P39" t="s">
        <v>30</v>
      </c>
      <c r="Q39">
        <v>41.5</v>
      </c>
      <c r="R39" s="6">
        <v>43885.339606481481</v>
      </c>
    </row>
    <row r="40" spans="9:19" x14ac:dyDescent="0.25">
      <c r="I40" s="15" t="s">
        <v>29</v>
      </c>
      <c r="J40" s="15">
        <v>3786773</v>
      </c>
      <c r="K40" s="15" t="s">
        <v>27</v>
      </c>
      <c r="L40" s="15">
        <v>32941</v>
      </c>
      <c r="M40" s="15" t="s">
        <v>19</v>
      </c>
      <c r="N40" s="15">
        <v>10608</v>
      </c>
      <c r="O40" s="15">
        <v>2137674</v>
      </c>
      <c r="P40" s="15" t="s">
        <v>30</v>
      </c>
      <c r="Q40" s="15">
        <v>42.5</v>
      </c>
      <c r="R40" s="17">
        <v>43885.339618055557</v>
      </c>
      <c r="S40" s="15">
        <f>SUM(Q37:Q40)</f>
        <v>171.2</v>
      </c>
    </row>
    <row r="41" spans="9:19" x14ac:dyDescent="0.25">
      <c r="I41" t="s">
        <v>29</v>
      </c>
      <c r="J41">
        <v>3786819</v>
      </c>
      <c r="K41" t="s">
        <v>27</v>
      </c>
      <c r="L41">
        <v>32941</v>
      </c>
      <c r="M41" t="s">
        <v>19</v>
      </c>
      <c r="N41">
        <v>10638</v>
      </c>
      <c r="O41">
        <v>2137674</v>
      </c>
      <c r="P41" t="s">
        <v>30</v>
      </c>
      <c r="Q41">
        <v>42</v>
      </c>
      <c r="R41" s="6">
        <v>43885.340451388889</v>
      </c>
    </row>
    <row r="42" spans="9:19" x14ac:dyDescent="0.25">
      <c r="I42" t="s">
        <v>29</v>
      </c>
      <c r="J42">
        <v>3786819</v>
      </c>
      <c r="K42" t="s">
        <v>27</v>
      </c>
      <c r="L42">
        <v>32941</v>
      </c>
      <c r="M42" t="s">
        <v>19</v>
      </c>
      <c r="N42">
        <v>10638</v>
      </c>
      <c r="O42">
        <v>2137674</v>
      </c>
      <c r="P42" t="s">
        <v>30</v>
      </c>
      <c r="Q42">
        <v>43.7</v>
      </c>
      <c r="R42" s="6">
        <v>43885.340451388889</v>
      </c>
    </row>
    <row r="43" spans="9:19" x14ac:dyDescent="0.25">
      <c r="I43" t="s">
        <v>29</v>
      </c>
      <c r="J43">
        <v>3786819</v>
      </c>
      <c r="K43" t="s">
        <v>27</v>
      </c>
      <c r="L43">
        <v>32941</v>
      </c>
      <c r="M43" t="s">
        <v>19</v>
      </c>
      <c r="N43">
        <v>10638</v>
      </c>
      <c r="O43">
        <v>2137674</v>
      </c>
      <c r="P43" t="s">
        <v>30</v>
      </c>
      <c r="Q43">
        <v>39</v>
      </c>
      <c r="R43" s="6">
        <v>43885.340462962966</v>
      </c>
    </row>
    <row r="44" spans="9:19" x14ac:dyDescent="0.25">
      <c r="I44" s="15" t="s">
        <v>29</v>
      </c>
      <c r="J44" s="15">
        <v>3786819</v>
      </c>
      <c r="K44" s="15" t="s">
        <v>27</v>
      </c>
      <c r="L44" s="15">
        <v>32941</v>
      </c>
      <c r="M44" s="15" t="s">
        <v>19</v>
      </c>
      <c r="N44" s="15">
        <v>10638</v>
      </c>
      <c r="O44" s="15">
        <v>2137674</v>
      </c>
      <c r="P44" s="15" t="s">
        <v>30</v>
      </c>
      <c r="Q44" s="15">
        <v>44.3</v>
      </c>
      <c r="R44" s="17">
        <v>43885.340486111112</v>
      </c>
      <c r="S44" s="15">
        <f>SUM(Q41:Q44)</f>
        <v>169</v>
      </c>
    </row>
    <row r="45" spans="9:19" x14ac:dyDescent="0.25">
      <c r="I45" t="s">
        <v>29</v>
      </c>
      <c r="J45">
        <v>3786819</v>
      </c>
      <c r="K45" t="s">
        <v>27</v>
      </c>
      <c r="L45">
        <v>32941</v>
      </c>
      <c r="M45" t="s">
        <v>19</v>
      </c>
      <c r="N45">
        <v>10638</v>
      </c>
      <c r="O45">
        <v>2137674</v>
      </c>
      <c r="P45" t="s">
        <v>30</v>
      </c>
      <c r="Q45">
        <v>39.200000000000003</v>
      </c>
      <c r="R45" s="6">
        <v>43885.363900462966</v>
      </c>
    </row>
    <row r="46" spans="9:19" x14ac:dyDescent="0.25">
      <c r="I46" s="15" t="s">
        <v>29</v>
      </c>
      <c r="J46" s="15">
        <v>3786819</v>
      </c>
      <c r="K46" s="15" t="s">
        <v>27</v>
      </c>
      <c r="L46" s="15">
        <v>32941</v>
      </c>
      <c r="M46" s="15" t="s">
        <v>19</v>
      </c>
      <c r="N46" s="15">
        <v>10638</v>
      </c>
      <c r="O46" s="15">
        <v>2137674</v>
      </c>
      <c r="P46" s="15" t="s">
        <v>30</v>
      </c>
      <c r="Q46" s="15">
        <v>43.7</v>
      </c>
      <c r="R46" s="17">
        <v>43885.363900462966</v>
      </c>
      <c r="S46" s="15">
        <f>SUM(Q45:Q46)</f>
        <v>82.9</v>
      </c>
    </row>
    <row r="47" spans="9:19" x14ac:dyDescent="0.25">
      <c r="I47" t="s">
        <v>29</v>
      </c>
      <c r="J47">
        <v>3786773</v>
      </c>
      <c r="K47" t="s">
        <v>27</v>
      </c>
      <c r="L47">
        <v>32941</v>
      </c>
      <c r="M47" t="s">
        <v>19</v>
      </c>
      <c r="N47">
        <v>10608</v>
      </c>
      <c r="O47">
        <v>2137674</v>
      </c>
      <c r="P47" t="s">
        <v>30</v>
      </c>
      <c r="Q47">
        <v>38.799999999999997</v>
      </c>
      <c r="R47" s="6">
        <v>43885.397650462961</v>
      </c>
    </row>
    <row r="48" spans="9:19" x14ac:dyDescent="0.25">
      <c r="I48" s="15" t="s">
        <v>29</v>
      </c>
      <c r="J48" s="15">
        <v>3786773</v>
      </c>
      <c r="K48" s="15" t="s">
        <v>27</v>
      </c>
      <c r="L48" s="15">
        <v>32941</v>
      </c>
      <c r="M48" s="15" t="s">
        <v>19</v>
      </c>
      <c r="N48" s="15">
        <v>10608</v>
      </c>
      <c r="O48" s="15">
        <v>2137674</v>
      </c>
      <c r="P48" s="15" t="s">
        <v>30</v>
      </c>
      <c r="Q48" s="15">
        <v>39.700000000000003</v>
      </c>
      <c r="R48" s="17">
        <v>43885.397650462961</v>
      </c>
      <c r="S48" s="15">
        <f>SUM(Q47:Q48)</f>
        <v>78.5</v>
      </c>
    </row>
    <row r="49" spans="9:18" x14ac:dyDescent="0.25">
      <c r="I49" t="s">
        <v>29</v>
      </c>
      <c r="J49">
        <v>3786612</v>
      </c>
      <c r="K49" t="s">
        <v>27</v>
      </c>
      <c r="L49">
        <v>32911</v>
      </c>
      <c r="M49" t="s">
        <v>19</v>
      </c>
      <c r="N49">
        <v>10487</v>
      </c>
      <c r="O49">
        <v>2137674</v>
      </c>
      <c r="P49" t="s">
        <v>30</v>
      </c>
      <c r="Q49">
        <v>38.799999999999997</v>
      </c>
      <c r="R49" s="6">
        <v>43885.662326388891</v>
      </c>
    </row>
    <row r="50" spans="9:18" x14ac:dyDescent="0.25">
      <c r="I50" t="s">
        <v>29</v>
      </c>
      <c r="J50">
        <v>3786612</v>
      </c>
      <c r="K50" t="s">
        <v>27</v>
      </c>
      <c r="L50">
        <v>32911</v>
      </c>
      <c r="M50" t="s">
        <v>19</v>
      </c>
      <c r="N50">
        <v>10487</v>
      </c>
      <c r="O50">
        <v>2137674</v>
      </c>
      <c r="P50" t="s">
        <v>30</v>
      </c>
      <c r="Q50">
        <v>36.700000000000003</v>
      </c>
      <c r="R50" s="6">
        <v>43885.662326388891</v>
      </c>
    </row>
    <row r="51" spans="9:18" x14ac:dyDescent="0.25">
      <c r="I51" t="s">
        <v>29</v>
      </c>
      <c r="J51">
        <v>3786612</v>
      </c>
      <c r="K51" t="s">
        <v>27</v>
      </c>
      <c r="L51">
        <v>32911</v>
      </c>
      <c r="M51" t="s">
        <v>19</v>
      </c>
      <c r="N51">
        <v>10487</v>
      </c>
      <c r="O51">
        <v>2137674</v>
      </c>
      <c r="P51" t="s">
        <v>30</v>
      </c>
      <c r="Q51">
        <v>43.7</v>
      </c>
      <c r="R51" s="6">
        <v>43885.662326388891</v>
      </c>
    </row>
    <row r="52" spans="9:18" x14ac:dyDescent="0.25">
      <c r="I52" t="s">
        <v>29</v>
      </c>
      <c r="J52">
        <v>3786612</v>
      </c>
      <c r="K52" t="s">
        <v>27</v>
      </c>
      <c r="L52">
        <v>32911</v>
      </c>
      <c r="M52" t="s">
        <v>19</v>
      </c>
      <c r="N52">
        <v>10487</v>
      </c>
      <c r="O52">
        <v>2137674</v>
      </c>
      <c r="P52" t="s">
        <v>30</v>
      </c>
      <c r="Q52">
        <v>38.1</v>
      </c>
      <c r="R52" s="6">
        <v>43885.66233796296</v>
      </c>
    </row>
    <row r="53" spans="9:18" x14ac:dyDescent="0.25">
      <c r="I53" t="s">
        <v>29</v>
      </c>
      <c r="J53">
        <v>3786612</v>
      </c>
      <c r="K53" t="s">
        <v>27</v>
      </c>
      <c r="L53">
        <v>32911</v>
      </c>
      <c r="M53" t="s">
        <v>19</v>
      </c>
      <c r="N53">
        <v>10487</v>
      </c>
      <c r="O53">
        <v>2137674</v>
      </c>
      <c r="P53" t="s">
        <v>30</v>
      </c>
      <c r="Q53">
        <v>40.9</v>
      </c>
      <c r="R53" s="6">
        <v>43885.66233796296</v>
      </c>
    </row>
    <row r="54" spans="9:18" x14ac:dyDescent="0.25">
      <c r="I54" t="s">
        <v>29</v>
      </c>
      <c r="J54">
        <v>3786612</v>
      </c>
      <c r="K54" t="s">
        <v>27</v>
      </c>
      <c r="L54">
        <v>32911</v>
      </c>
      <c r="M54" t="s">
        <v>19</v>
      </c>
      <c r="N54">
        <v>10487</v>
      </c>
      <c r="O54">
        <v>2137674</v>
      </c>
      <c r="P54" t="s">
        <v>30</v>
      </c>
      <c r="Q54">
        <v>38.6</v>
      </c>
      <c r="R54" s="6">
        <v>43885.66233796296</v>
      </c>
    </row>
    <row r="55" spans="9:18" x14ac:dyDescent="0.25">
      <c r="I55" t="s">
        <v>29</v>
      </c>
      <c r="J55">
        <v>3786612</v>
      </c>
      <c r="K55" t="s">
        <v>27</v>
      </c>
      <c r="L55">
        <v>32911</v>
      </c>
      <c r="M55" t="s">
        <v>19</v>
      </c>
      <c r="N55">
        <v>10487</v>
      </c>
      <c r="O55">
        <v>2137674</v>
      </c>
      <c r="P55" t="s">
        <v>30</v>
      </c>
      <c r="Q55">
        <v>43</v>
      </c>
      <c r="R55" s="6">
        <v>43885.66233796296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8"/>
  <sheetViews>
    <sheetView workbookViewId="0">
      <selection activeCell="H13" sqref="H13"/>
    </sheetView>
  </sheetViews>
  <sheetFormatPr defaultRowHeight="15" x14ac:dyDescent="0.25"/>
  <cols>
    <col min="5" max="5" width="11.42578125" bestFit="1" customWidth="1"/>
    <col min="12" max="12" width="6" bestFit="1" customWidth="1"/>
    <col min="16" max="16" width="5" bestFit="1" customWidth="1"/>
    <col min="17" max="17" width="14.85546875" bestFit="1" customWidth="1"/>
  </cols>
  <sheetData>
    <row r="2" spans="1:18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37</v>
      </c>
    </row>
    <row r="3" spans="1:18" x14ac:dyDescent="0.25">
      <c r="A3" s="15">
        <v>20200221</v>
      </c>
      <c r="B3" s="15">
        <v>211050</v>
      </c>
      <c r="C3" s="15">
        <v>4370246</v>
      </c>
      <c r="D3" s="15" t="s">
        <v>0</v>
      </c>
      <c r="E3" s="15">
        <v>32941</v>
      </c>
      <c r="F3" s="15" t="s">
        <v>10</v>
      </c>
      <c r="G3" s="15">
        <v>728.9</v>
      </c>
      <c r="I3" t="s">
        <v>29</v>
      </c>
      <c r="J3">
        <v>3786601</v>
      </c>
      <c r="K3" t="s">
        <v>27</v>
      </c>
      <c r="L3">
        <v>32911</v>
      </c>
      <c r="M3" t="s">
        <v>10</v>
      </c>
      <c r="N3">
        <v>10500</v>
      </c>
      <c r="O3">
        <v>2137674</v>
      </c>
      <c r="P3">
        <v>40.4</v>
      </c>
      <c r="Q3" s="6">
        <v>43881.508553240739</v>
      </c>
    </row>
    <row r="4" spans="1:18" x14ac:dyDescent="0.25">
      <c r="A4" s="15">
        <v>20200224</v>
      </c>
      <c r="B4" s="15">
        <v>62254</v>
      </c>
      <c r="C4" s="15">
        <v>4371081</v>
      </c>
      <c r="D4" s="15" t="s">
        <v>0</v>
      </c>
      <c r="E4" s="15">
        <v>32941</v>
      </c>
      <c r="F4" s="15" t="s">
        <v>10</v>
      </c>
      <c r="G4" s="15">
        <v>215.3</v>
      </c>
      <c r="I4" t="s">
        <v>29</v>
      </c>
      <c r="J4">
        <v>3786601</v>
      </c>
      <c r="K4" t="s">
        <v>27</v>
      </c>
      <c r="L4">
        <v>32911</v>
      </c>
      <c r="M4" t="s">
        <v>10</v>
      </c>
      <c r="N4">
        <v>10500</v>
      </c>
      <c r="O4">
        <v>2137674</v>
      </c>
      <c r="P4">
        <v>37.4</v>
      </c>
      <c r="Q4" s="6">
        <v>43881.508553240739</v>
      </c>
    </row>
    <row r="5" spans="1:18" x14ac:dyDescent="0.25">
      <c r="A5" s="15">
        <v>20200224</v>
      </c>
      <c r="B5" s="15">
        <v>111933</v>
      </c>
      <c r="C5" s="15">
        <v>4371325</v>
      </c>
      <c r="D5" s="15" t="s">
        <v>0</v>
      </c>
      <c r="E5" s="15">
        <v>32941</v>
      </c>
      <c r="F5" s="15" t="s">
        <v>10</v>
      </c>
      <c r="G5" s="15">
        <v>288.60000000000002</v>
      </c>
      <c r="I5" s="15" t="s">
        <v>29</v>
      </c>
      <c r="J5" s="15">
        <v>3786601</v>
      </c>
      <c r="K5" s="15" t="s">
        <v>27</v>
      </c>
      <c r="L5" s="15">
        <v>32911</v>
      </c>
      <c r="M5" s="15" t="s">
        <v>10</v>
      </c>
      <c r="N5" s="15">
        <v>10500</v>
      </c>
      <c r="O5" s="15">
        <v>2137674</v>
      </c>
      <c r="P5" s="15">
        <v>40.6</v>
      </c>
      <c r="Q5" s="17">
        <v>43881.508564814816</v>
      </c>
      <c r="R5" s="15">
        <f>SUM(P3:P5)</f>
        <v>118.4</v>
      </c>
    </row>
    <row r="6" spans="1:18" x14ac:dyDescent="0.25">
      <c r="A6" s="15">
        <v>20200221</v>
      </c>
      <c r="B6" s="15">
        <v>112420</v>
      </c>
      <c r="C6" s="15">
        <v>4369563</v>
      </c>
      <c r="D6" s="15" t="s">
        <v>0</v>
      </c>
      <c r="E6" s="15">
        <v>32941</v>
      </c>
      <c r="F6" s="15" t="s">
        <v>10</v>
      </c>
      <c r="G6" s="15">
        <v>82.3</v>
      </c>
      <c r="I6" t="s">
        <v>29</v>
      </c>
      <c r="J6">
        <v>3786601</v>
      </c>
      <c r="K6" t="s">
        <v>27</v>
      </c>
      <c r="L6">
        <v>32911</v>
      </c>
      <c r="M6" t="s">
        <v>10</v>
      </c>
      <c r="N6">
        <v>10500</v>
      </c>
      <c r="O6">
        <v>2137674</v>
      </c>
      <c r="P6">
        <v>40.200000000000003</v>
      </c>
      <c r="Q6" s="6">
        <v>43881.632337962961</v>
      </c>
    </row>
    <row r="7" spans="1:18" x14ac:dyDescent="0.25">
      <c r="A7" s="15">
        <v>20200220</v>
      </c>
      <c r="B7" s="15">
        <v>151035</v>
      </c>
      <c r="C7" s="15">
        <v>4367460</v>
      </c>
      <c r="D7" s="15" t="s">
        <v>0</v>
      </c>
      <c r="E7" s="15">
        <v>32911</v>
      </c>
      <c r="F7" s="15" t="s">
        <v>10</v>
      </c>
      <c r="G7" s="15">
        <v>123.6</v>
      </c>
      <c r="I7" t="s">
        <v>29</v>
      </c>
      <c r="J7">
        <v>3786601</v>
      </c>
      <c r="K7" t="s">
        <v>27</v>
      </c>
      <c r="L7">
        <v>32911</v>
      </c>
      <c r="M7" t="s">
        <v>10</v>
      </c>
      <c r="N7">
        <v>10500</v>
      </c>
      <c r="O7">
        <v>2137674</v>
      </c>
      <c r="P7">
        <v>41.9</v>
      </c>
      <c r="Q7" s="6">
        <v>43881.632337962961</v>
      </c>
    </row>
    <row r="8" spans="1:18" x14ac:dyDescent="0.25">
      <c r="A8" s="15">
        <v>20200221</v>
      </c>
      <c r="B8" s="15">
        <v>1128</v>
      </c>
      <c r="C8" s="15">
        <v>4368312</v>
      </c>
      <c r="D8" s="15" t="s">
        <v>0</v>
      </c>
      <c r="E8" s="15">
        <v>32931</v>
      </c>
      <c r="F8" s="15" t="s">
        <v>10</v>
      </c>
      <c r="G8" s="15">
        <v>33.1</v>
      </c>
      <c r="I8" s="15" t="s">
        <v>29</v>
      </c>
      <c r="J8" s="15">
        <v>3786601</v>
      </c>
      <c r="K8" s="15" t="s">
        <v>27</v>
      </c>
      <c r="L8" s="15">
        <v>32911</v>
      </c>
      <c r="M8" s="15" t="s">
        <v>10</v>
      </c>
      <c r="N8" s="15">
        <v>10500</v>
      </c>
      <c r="O8" s="15">
        <v>2137674</v>
      </c>
      <c r="P8" s="15">
        <v>41.5</v>
      </c>
      <c r="Q8" s="17">
        <v>43881.632349537038</v>
      </c>
      <c r="R8" s="15">
        <f>SUM(P6:P8)</f>
        <v>123.6</v>
      </c>
    </row>
    <row r="9" spans="1:18" x14ac:dyDescent="0.25">
      <c r="A9" s="15">
        <v>20200222</v>
      </c>
      <c r="B9" s="15">
        <v>524</v>
      </c>
      <c r="C9" s="15">
        <v>4370384</v>
      </c>
      <c r="D9" s="15" t="s">
        <v>0</v>
      </c>
      <c r="E9" s="15">
        <v>32941</v>
      </c>
      <c r="F9" s="15" t="s">
        <v>10</v>
      </c>
      <c r="G9" s="15">
        <v>45.9</v>
      </c>
      <c r="I9" t="s">
        <v>29</v>
      </c>
      <c r="J9">
        <v>3786672</v>
      </c>
      <c r="K9" t="s">
        <v>27</v>
      </c>
      <c r="L9">
        <v>32931</v>
      </c>
      <c r="M9" t="s">
        <v>10</v>
      </c>
      <c r="N9">
        <v>10506</v>
      </c>
      <c r="O9">
        <v>2137674</v>
      </c>
      <c r="P9">
        <v>34.1</v>
      </c>
      <c r="Q9" s="6">
        <v>43881.909548611111</v>
      </c>
    </row>
    <row r="10" spans="1:18" x14ac:dyDescent="0.25">
      <c r="A10" s="15">
        <v>20200220</v>
      </c>
      <c r="B10" s="15">
        <v>214946</v>
      </c>
      <c r="C10" s="15">
        <v>4368086</v>
      </c>
      <c r="D10" s="15" t="s">
        <v>0</v>
      </c>
      <c r="E10" s="15">
        <v>32931</v>
      </c>
      <c r="F10" s="15" t="s">
        <v>10</v>
      </c>
      <c r="G10" s="15">
        <v>68.3</v>
      </c>
      <c r="I10" s="15" t="s">
        <v>29</v>
      </c>
      <c r="J10" s="15">
        <v>3786672</v>
      </c>
      <c r="K10" s="15" t="s">
        <v>27</v>
      </c>
      <c r="L10" s="15">
        <v>32931</v>
      </c>
      <c r="M10" s="15" t="s">
        <v>10</v>
      </c>
      <c r="N10" s="15">
        <v>10506</v>
      </c>
      <c r="O10" s="15">
        <v>2137674</v>
      </c>
      <c r="P10" s="15">
        <v>34.200000000000003</v>
      </c>
      <c r="Q10" s="17">
        <v>43881.909548611111</v>
      </c>
      <c r="R10" s="15">
        <f>SUM(P9:P10)</f>
        <v>68.300000000000011</v>
      </c>
    </row>
    <row r="11" spans="1:18" x14ac:dyDescent="0.25">
      <c r="A11" s="15">
        <v>20200220</v>
      </c>
      <c r="B11" s="15">
        <v>233312</v>
      </c>
      <c r="C11" s="15">
        <v>4368237</v>
      </c>
      <c r="D11" s="15" t="s">
        <v>0</v>
      </c>
      <c r="E11" s="15">
        <v>32901</v>
      </c>
      <c r="F11" s="15" t="s">
        <v>10</v>
      </c>
      <c r="G11" s="15">
        <v>40.6</v>
      </c>
      <c r="I11" s="15" t="s">
        <v>29</v>
      </c>
      <c r="J11" s="15">
        <v>3786557</v>
      </c>
      <c r="K11" s="15" t="s">
        <v>27</v>
      </c>
      <c r="L11" s="15">
        <v>32901</v>
      </c>
      <c r="M11" s="15" t="s">
        <v>10</v>
      </c>
      <c r="N11" s="15">
        <v>10454</v>
      </c>
      <c r="O11" s="15">
        <v>2137674</v>
      </c>
      <c r="P11" s="15">
        <v>40.6</v>
      </c>
      <c r="Q11" s="17">
        <v>43881.981388888889</v>
      </c>
      <c r="R11" s="15">
        <v>40.6</v>
      </c>
    </row>
    <row r="12" spans="1:18" x14ac:dyDescent="0.25">
      <c r="A12" s="15">
        <v>20200220</v>
      </c>
      <c r="B12" s="15">
        <v>121221</v>
      </c>
      <c r="C12" s="15">
        <v>4367327</v>
      </c>
      <c r="D12" s="15" t="s">
        <v>0</v>
      </c>
      <c r="E12" s="15">
        <v>32911</v>
      </c>
      <c r="F12" s="15" t="s">
        <v>10</v>
      </c>
      <c r="G12" s="15">
        <v>118.4</v>
      </c>
      <c r="I12" t="s">
        <v>29</v>
      </c>
      <c r="J12">
        <v>3786672</v>
      </c>
      <c r="K12" t="s">
        <v>27</v>
      </c>
      <c r="L12">
        <v>32931</v>
      </c>
      <c r="M12" t="s">
        <v>10</v>
      </c>
      <c r="N12">
        <v>10506</v>
      </c>
      <c r="O12">
        <v>2137674</v>
      </c>
      <c r="P12">
        <v>29.8</v>
      </c>
      <c r="Q12" s="6">
        <v>43881.984351851854</v>
      </c>
    </row>
    <row r="13" spans="1:18" x14ac:dyDescent="0.25">
      <c r="A13" s="15">
        <v>20200220</v>
      </c>
      <c r="B13" s="15">
        <v>233729</v>
      </c>
      <c r="C13" s="15">
        <v>4368238</v>
      </c>
      <c r="D13" s="15" t="s">
        <v>0</v>
      </c>
      <c r="E13" s="15">
        <v>32931</v>
      </c>
      <c r="F13" s="15" t="s">
        <v>10</v>
      </c>
      <c r="G13" s="15">
        <v>60.9</v>
      </c>
      <c r="I13" s="15" t="s">
        <v>29</v>
      </c>
      <c r="J13" s="15">
        <v>3786672</v>
      </c>
      <c r="K13" s="15" t="s">
        <v>27</v>
      </c>
      <c r="L13" s="15">
        <v>32931</v>
      </c>
      <c r="M13" s="15" t="s">
        <v>10</v>
      </c>
      <c r="N13" s="15">
        <v>10506</v>
      </c>
      <c r="O13" s="15">
        <v>2137674</v>
      </c>
      <c r="P13" s="15">
        <v>31.1</v>
      </c>
      <c r="Q13" s="17">
        <v>43881.984351851854</v>
      </c>
      <c r="R13" s="15">
        <f>SUM(P12:P13)</f>
        <v>60.900000000000006</v>
      </c>
    </row>
    <row r="14" spans="1:18" x14ac:dyDescent="0.25">
      <c r="A14" s="15">
        <v>20200222</v>
      </c>
      <c r="B14" s="15">
        <v>524</v>
      </c>
      <c r="C14" s="15">
        <v>4370384</v>
      </c>
      <c r="D14" s="15" t="s">
        <v>0</v>
      </c>
      <c r="E14" s="15">
        <v>32931</v>
      </c>
      <c r="F14" s="15" t="s">
        <v>10</v>
      </c>
      <c r="G14" s="15">
        <v>66.5</v>
      </c>
      <c r="I14" s="15" t="s">
        <v>29</v>
      </c>
      <c r="J14" s="15">
        <v>3786672</v>
      </c>
      <c r="K14" s="15" t="s">
        <v>27</v>
      </c>
      <c r="L14" s="15">
        <v>32931</v>
      </c>
      <c r="M14" s="15" t="s">
        <v>10</v>
      </c>
      <c r="N14" s="15">
        <v>10506</v>
      </c>
      <c r="O14" s="15">
        <v>2137674</v>
      </c>
      <c r="P14" s="15">
        <v>33.1</v>
      </c>
      <c r="Q14" s="17">
        <v>43882.007962962962</v>
      </c>
      <c r="R14" s="15">
        <v>33.1</v>
      </c>
    </row>
    <row r="15" spans="1:18" x14ac:dyDescent="0.25">
      <c r="A15" s="15">
        <v>20200222</v>
      </c>
      <c r="B15" s="15">
        <v>621</v>
      </c>
      <c r="C15" s="15">
        <v>4370386</v>
      </c>
      <c r="D15" s="15" t="s">
        <v>0</v>
      </c>
      <c r="E15" s="15">
        <v>32941</v>
      </c>
      <c r="F15" s="15" t="s">
        <v>10</v>
      </c>
      <c r="G15" s="15">
        <v>41.9</v>
      </c>
      <c r="I15" t="s">
        <v>29</v>
      </c>
      <c r="J15">
        <v>3786703</v>
      </c>
      <c r="K15" t="s">
        <v>27</v>
      </c>
      <c r="L15">
        <v>32941</v>
      </c>
      <c r="M15" t="s">
        <v>10</v>
      </c>
      <c r="N15">
        <v>10534</v>
      </c>
      <c r="O15">
        <v>2137674</v>
      </c>
      <c r="P15">
        <v>41</v>
      </c>
      <c r="Q15" s="6">
        <v>43882.475219907406</v>
      </c>
    </row>
    <row r="16" spans="1:18" x14ac:dyDescent="0.25">
      <c r="A16" s="15">
        <v>20200224</v>
      </c>
      <c r="B16" s="15">
        <v>62122</v>
      </c>
      <c r="C16" s="15">
        <v>4371080</v>
      </c>
      <c r="D16" s="15" t="s">
        <v>0</v>
      </c>
      <c r="E16" s="15">
        <v>32941</v>
      </c>
      <c r="F16" s="15" t="s">
        <v>10</v>
      </c>
      <c r="G16" s="15">
        <v>41</v>
      </c>
      <c r="I16" s="15" t="s">
        <v>29</v>
      </c>
      <c r="J16" s="15">
        <v>3786703</v>
      </c>
      <c r="K16" s="15" t="s">
        <v>27</v>
      </c>
      <c r="L16" s="15">
        <v>32941</v>
      </c>
      <c r="M16" s="15" t="s">
        <v>10</v>
      </c>
      <c r="N16" s="15">
        <v>10534</v>
      </c>
      <c r="O16" s="15">
        <v>2137674</v>
      </c>
      <c r="P16" s="15">
        <v>41.3</v>
      </c>
      <c r="Q16" s="17">
        <v>43882.475231481483</v>
      </c>
      <c r="R16" s="15">
        <f>SUM(P15:P16)</f>
        <v>82.3</v>
      </c>
    </row>
    <row r="17" spans="1:18" x14ac:dyDescent="0.25">
      <c r="A17" s="15">
        <v>20200221</v>
      </c>
      <c r="B17" s="15">
        <v>165914</v>
      </c>
      <c r="C17" s="15">
        <v>4369936</v>
      </c>
      <c r="D17" s="15" t="s">
        <v>0</v>
      </c>
      <c r="E17" s="15">
        <v>32901</v>
      </c>
      <c r="F17" s="15" t="s">
        <v>10</v>
      </c>
      <c r="G17" s="15">
        <v>38.9</v>
      </c>
      <c r="I17" s="15" t="s">
        <v>29</v>
      </c>
      <c r="J17" s="15">
        <v>3786557</v>
      </c>
      <c r="K17" s="15" t="s">
        <v>27</v>
      </c>
      <c r="L17" s="15">
        <v>32901</v>
      </c>
      <c r="M17" s="15" t="s">
        <v>10</v>
      </c>
      <c r="N17" s="15">
        <v>10454</v>
      </c>
      <c r="O17" s="15">
        <v>2137674</v>
      </c>
      <c r="P17" s="15">
        <v>38.9</v>
      </c>
      <c r="Q17" s="17">
        <v>43882.707800925928</v>
      </c>
      <c r="R17" s="15">
        <v>38.9</v>
      </c>
    </row>
    <row r="18" spans="1:18" x14ac:dyDescent="0.25">
      <c r="I18" t="s">
        <v>29</v>
      </c>
      <c r="J18">
        <v>3786772</v>
      </c>
      <c r="K18" t="s">
        <v>27</v>
      </c>
      <c r="L18">
        <v>32941</v>
      </c>
      <c r="M18" t="s">
        <v>10</v>
      </c>
      <c r="N18">
        <v>10572</v>
      </c>
      <c r="O18">
        <v>2137674</v>
      </c>
      <c r="P18">
        <v>43.7</v>
      </c>
      <c r="Q18" s="6">
        <v>43882.88244212963</v>
      </c>
    </row>
    <row r="19" spans="1:18" x14ac:dyDescent="0.25">
      <c r="I19" t="s">
        <v>29</v>
      </c>
      <c r="J19">
        <v>3786772</v>
      </c>
      <c r="K19" t="s">
        <v>27</v>
      </c>
      <c r="L19">
        <v>32941</v>
      </c>
      <c r="M19" t="s">
        <v>10</v>
      </c>
      <c r="N19">
        <v>10572</v>
      </c>
      <c r="O19">
        <v>2137674</v>
      </c>
      <c r="P19">
        <v>43.6</v>
      </c>
      <c r="Q19" s="6">
        <v>43882.882453703707</v>
      </c>
    </row>
    <row r="20" spans="1:18" x14ac:dyDescent="0.25">
      <c r="I20" t="s">
        <v>29</v>
      </c>
      <c r="J20">
        <v>3786772</v>
      </c>
      <c r="K20" t="s">
        <v>27</v>
      </c>
      <c r="L20">
        <v>32941</v>
      </c>
      <c r="M20" t="s">
        <v>10</v>
      </c>
      <c r="N20">
        <v>10572</v>
      </c>
      <c r="O20">
        <v>2137674</v>
      </c>
      <c r="P20">
        <v>47.8</v>
      </c>
      <c r="Q20" s="6">
        <v>43882.882453703707</v>
      </c>
    </row>
    <row r="21" spans="1:18" x14ac:dyDescent="0.25">
      <c r="I21" t="s">
        <v>29</v>
      </c>
      <c r="J21">
        <v>3786772</v>
      </c>
      <c r="K21" t="s">
        <v>27</v>
      </c>
      <c r="L21">
        <v>32941</v>
      </c>
      <c r="M21" t="s">
        <v>10</v>
      </c>
      <c r="N21">
        <v>10572</v>
      </c>
      <c r="O21">
        <v>2137674</v>
      </c>
      <c r="P21">
        <v>39.700000000000003</v>
      </c>
      <c r="Q21" s="6">
        <v>43882.882453703707</v>
      </c>
    </row>
    <row r="22" spans="1:18" x14ac:dyDescent="0.25">
      <c r="I22" t="s">
        <v>29</v>
      </c>
      <c r="J22">
        <v>3786772</v>
      </c>
      <c r="K22" t="s">
        <v>27</v>
      </c>
      <c r="L22">
        <v>32941</v>
      </c>
      <c r="M22" t="s">
        <v>10</v>
      </c>
      <c r="N22">
        <v>10572</v>
      </c>
      <c r="O22">
        <v>2137674</v>
      </c>
      <c r="P22">
        <v>40.1</v>
      </c>
      <c r="Q22" s="6">
        <v>43882.882453703707</v>
      </c>
    </row>
    <row r="23" spans="1:18" x14ac:dyDescent="0.25">
      <c r="I23" t="s">
        <v>29</v>
      </c>
      <c r="J23">
        <v>3786772</v>
      </c>
      <c r="K23" t="s">
        <v>27</v>
      </c>
      <c r="L23">
        <v>32941</v>
      </c>
      <c r="M23" t="s">
        <v>10</v>
      </c>
      <c r="N23">
        <v>10572</v>
      </c>
      <c r="O23">
        <v>2137674</v>
      </c>
      <c r="P23">
        <v>43</v>
      </c>
      <c r="Q23" s="6">
        <v>43882.882465277777</v>
      </c>
    </row>
    <row r="24" spans="1:18" x14ac:dyDescent="0.25">
      <c r="I24" t="s">
        <v>29</v>
      </c>
      <c r="J24">
        <v>3786772</v>
      </c>
      <c r="K24" t="s">
        <v>27</v>
      </c>
      <c r="L24">
        <v>32941</v>
      </c>
      <c r="M24" t="s">
        <v>10</v>
      </c>
      <c r="N24">
        <v>10572</v>
      </c>
      <c r="O24">
        <v>2137674</v>
      </c>
      <c r="P24">
        <v>42.9</v>
      </c>
      <c r="Q24" s="6">
        <v>43882.882465277777</v>
      </c>
    </row>
    <row r="25" spans="1:18" x14ac:dyDescent="0.25">
      <c r="I25" t="s">
        <v>29</v>
      </c>
      <c r="J25">
        <v>3786772</v>
      </c>
      <c r="K25" t="s">
        <v>27</v>
      </c>
      <c r="L25">
        <v>32941</v>
      </c>
      <c r="M25" t="s">
        <v>10</v>
      </c>
      <c r="N25">
        <v>10572</v>
      </c>
      <c r="O25">
        <v>2137674</v>
      </c>
      <c r="P25">
        <v>41.5</v>
      </c>
      <c r="Q25" s="6">
        <v>43882.882465277777</v>
      </c>
    </row>
    <row r="26" spans="1:18" x14ac:dyDescent="0.25">
      <c r="I26" t="s">
        <v>29</v>
      </c>
      <c r="J26">
        <v>3786772</v>
      </c>
      <c r="K26" t="s">
        <v>27</v>
      </c>
      <c r="L26">
        <v>32941</v>
      </c>
      <c r="M26" t="s">
        <v>10</v>
      </c>
      <c r="N26">
        <v>10572</v>
      </c>
      <c r="O26">
        <v>2137674</v>
      </c>
      <c r="P26">
        <v>41.1</v>
      </c>
      <c r="Q26" s="6">
        <v>43882.882476851853</v>
      </c>
    </row>
    <row r="27" spans="1:18" x14ac:dyDescent="0.25">
      <c r="I27" t="s">
        <v>29</v>
      </c>
      <c r="J27">
        <v>3786772</v>
      </c>
      <c r="K27" t="s">
        <v>27</v>
      </c>
      <c r="L27">
        <v>32941</v>
      </c>
      <c r="M27" t="s">
        <v>10</v>
      </c>
      <c r="N27">
        <v>10572</v>
      </c>
      <c r="O27">
        <v>2137674</v>
      </c>
      <c r="P27">
        <v>42.8</v>
      </c>
      <c r="Q27" s="6">
        <v>43882.882476851853</v>
      </c>
    </row>
    <row r="28" spans="1:18" x14ac:dyDescent="0.25">
      <c r="I28" t="s">
        <v>29</v>
      </c>
      <c r="J28">
        <v>3786772</v>
      </c>
      <c r="K28" t="s">
        <v>27</v>
      </c>
      <c r="L28">
        <v>32941</v>
      </c>
      <c r="M28" t="s">
        <v>10</v>
      </c>
      <c r="N28">
        <v>10572</v>
      </c>
      <c r="O28">
        <v>2137674</v>
      </c>
      <c r="P28">
        <v>43.4</v>
      </c>
      <c r="Q28" s="6">
        <v>43882.882488425923</v>
      </c>
    </row>
    <row r="29" spans="1:18" x14ac:dyDescent="0.25">
      <c r="I29" t="s">
        <v>29</v>
      </c>
      <c r="J29">
        <v>3786772</v>
      </c>
      <c r="K29" t="s">
        <v>27</v>
      </c>
      <c r="L29">
        <v>32941</v>
      </c>
      <c r="M29" t="s">
        <v>10</v>
      </c>
      <c r="N29">
        <v>10572</v>
      </c>
      <c r="O29">
        <v>2137674</v>
      </c>
      <c r="P29">
        <v>41.8</v>
      </c>
      <c r="Q29" s="6">
        <v>43882.882488425923</v>
      </c>
    </row>
    <row r="30" spans="1:18" x14ac:dyDescent="0.25">
      <c r="I30" t="s">
        <v>29</v>
      </c>
      <c r="J30">
        <v>3786772</v>
      </c>
      <c r="K30" t="s">
        <v>27</v>
      </c>
      <c r="L30">
        <v>32941</v>
      </c>
      <c r="M30" t="s">
        <v>10</v>
      </c>
      <c r="N30">
        <v>10572</v>
      </c>
      <c r="O30">
        <v>2137674</v>
      </c>
      <c r="P30">
        <v>42.7</v>
      </c>
      <c r="Q30" s="6">
        <v>43882.8825</v>
      </c>
    </row>
    <row r="31" spans="1:18" x14ac:dyDescent="0.25">
      <c r="I31" t="s">
        <v>29</v>
      </c>
      <c r="J31">
        <v>3786772</v>
      </c>
      <c r="K31" t="s">
        <v>27</v>
      </c>
      <c r="L31">
        <v>32941</v>
      </c>
      <c r="M31" t="s">
        <v>10</v>
      </c>
      <c r="N31">
        <v>10572</v>
      </c>
      <c r="O31">
        <v>2137674</v>
      </c>
      <c r="P31">
        <v>43.7</v>
      </c>
      <c r="Q31" s="6">
        <v>43882.8825</v>
      </c>
    </row>
    <row r="32" spans="1:18" x14ac:dyDescent="0.25">
      <c r="I32" t="s">
        <v>29</v>
      </c>
      <c r="J32">
        <v>3786772</v>
      </c>
      <c r="K32" t="s">
        <v>27</v>
      </c>
      <c r="L32">
        <v>32941</v>
      </c>
      <c r="M32" t="s">
        <v>10</v>
      </c>
      <c r="N32">
        <v>10572</v>
      </c>
      <c r="O32">
        <v>2137674</v>
      </c>
      <c r="P32">
        <v>44.1</v>
      </c>
      <c r="Q32" s="6">
        <v>43882.882511574076</v>
      </c>
    </row>
    <row r="33" spans="9:18" x14ac:dyDescent="0.25">
      <c r="I33" t="s">
        <v>29</v>
      </c>
      <c r="J33">
        <v>3786772</v>
      </c>
      <c r="K33" t="s">
        <v>27</v>
      </c>
      <c r="L33">
        <v>32941</v>
      </c>
      <c r="M33" t="s">
        <v>10</v>
      </c>
      <c r="N33">
        <v>10572</v>
      </c>
      <c r="O33">
        <v>2137674</v>
      </c>
      <c r="P33">
        <v>42.4</v>
      </c>
      <c r="Q33" s="6">
        <v>43882.882511574076</v>
      </c>
    </row>
    <row r="34" spans="9:18" x14ac:dyDescent="0.25">
      <c r="I34" s="15" t="s">
        <v>29</v>
      </c>
      <c r="J34" s="15">
        <v>3786772</v>
      </c>
      <c r="K34" s="15" t="s">
        <v>27</v>
      </c>
      <c r="L34" s="15">
        <v>32941</v>
      </c>
      <c r="M34" s="15" t="s">
        <v>10</v>
      </c>
      <c r="N34" s="15">
        <v>10572</v>
      </c>
      <c r="O34" s="15">
        <v>2137674</v>
      </c>
      <c r="P34" s="15">
        <v>44.6</v>
      </c>
      <c r="Q34" s="17">
        <v>43882.882523148146</v>
      </c>
      <c r="R34" s="15">
        <f>SUM(P18:P34)</f>
        <v>728.90000000000009</v>
      </c>
    </row>
    <row r="35" spans="9:18" x14ac:dyDescent="0.25">
      <c r="I35" s="15" t="s">
        <v>29</v>
      </c>
      <c r="J35" s="15">
        <v>3786772</v>
      </c>
      <c r="K35" s="15" t="s">
        <v>27</v>
      </c>
      <c r="L35" s="15">
        <v>32941</v>
      </c>
      <c r="M35" s="15" t="s">
        <v>10</v>
      </c>
      <c r="N35" s="15">
        <v>10572</v>
      </c>
      <c r="O35" s="15">
        <v>2137674</v>
      </c>
      <c r="P35" s="15">
        <v>45.9</v>
      </c>
      <c r="Q35" s="17">
        <v>43883.00372685185</v>
      </c>
      <c r="R35" s="15">
        <v>45.9</v>
      </c>
    </row>
    <row r="36" spans="9:18" x14ac:dyDescent="0.25">
      <c r="I36" t="s">
        <v>29</v>
      </c>
      <c r="J36">
        <v>3786772</v>
      </c>
      <c r="K36" t="s">
        <v>27</v>
      </c>
      <c r="L36">
        <v>32931</v>
      </c>
      <c r="M36" t="s">
        <v>10</v>
      </c>
      <c r="N36">
        <v>10572</v>
      </c>
      <c r="O36">
        <v>2137674</v>
      </c>
      <c r="P36">
        <v>33.5</v>
      </c>
      <c r="Q36" s="6">
        <v>43883.00372685185</v>
      </c>
    </row>
    <row r="37" spans="9:18" x14ac:dyDescent="0.25">
      <c r="I37" s="15" t="s">
        <v>29</v>
      </c>
      <c r="J37" s="15">
        <v>3786772</v>
      </c>
      <c r="K37" s="15" t="s">
        <v>27</v>
      </c>
      <c r="L37" s="15">
        <v>32931</v>
      </c>
      <c r="M37" s="15" t="s">
        <v>10</v>
      </c>
      <c r="N37" s="15">
        <v>10572</v>
      </c>
      <c r="O37" s="15">
        <v>2137674</v>
      </c>
      <c r="P37" s="15">
        <v>33</v>
      </c>
      <c r="Q37" s="17">
        <v>43883.003738425927</v>
      </c>
      <c r="R37" s="15">
        <f>SUM(P36:P37)</f>
        <v>66.5</v>
      </c>
    </row>
    <row r="38" spans="9:18" x14ac:dyDescent="0.25">
      <c r="I38" s="15" t="s">
        <v>29</v>
      </c>
      <c r="J38" s="15">
        <v>3786772</v>
      </c>
      <c r="K38" s="15" t="s">
        <v>27</v>
      </c>
      <c r="L38" s="15">
        <v>32941</v>
      </c>
      <c r="M38" s="15" t="s">
        <v>10</v>
      </c>
      <c r="N38" s="15">
        <v>10572</v>
      </c>
      <c r="O38" s="15">
        <v>2137674</v>
      </c>
      <c r="P38" s="15">
        <v>41.9</v>
      </c>
      <c r="Q38" s="17">
        <v>43883.00439814815</v>
      </c>
      <c r="R38" s="15">
        <v>41.9</v>
      </c>
    </row>
    <row r="39" spans="9:18" x14ac:dyDescent="0.25">
      <c r="I39" s="15" t="s">
        <v>29</v>
      </c>
      <c r="J39" s="15">
        <v>3786772</v>
      </c>
      <c r="K39" s="15" t="s">
        <v>27</v>
      </c>
      <c r="L39" s="15">
        <v>32941</v>
      </c>
      <c r="M39" s="15" t="s">
        <v>10</v>
      </c>
      <c r="N39" s="15">
        <v>10572</v>
      </c>
      <c r="O39" s="15">
        <v>2137674</v>
      </c>
      <c r="P39" s="15">
        <v>41</v>
      </c>
      <c r="Q39" s="17">
        <v>43885.264791666668</v>
      </c>
      <c r="R39" s="15">
        <v>41</v>
      </c>
    </row>
    <row r="40" spans="9:18" x14ac:dyDescent="0.25">
      <c r="I40" t="s">
        <v>29</v>
      </c>
      <c r="J40">
        <v>3786772</v>
      </c>
      <c r="K40" t="s">
        <v>27</v>
      </c>
      <c r="L40">
        <v>32941</v>
      </c>
      <c r="M40" t="s">
        <v>10</v>
      </c>
      <c r="N40">
        <v>10572</v>
      </c>
      <c r="O40">
        <v>2137674</v>
      </c>
      <c r="P40">
        <v>44</v>
      </c>
      <c r="Q40" s="6">
        <v>43885.265879629631</v>
      </c>
    </row>
    <row r="41" spans="9:18" x14ac:dyDescent="0.25">
      <c r="I41" t="s">
        <v>29</v>
      </c>
      <c r="J41">
        <v>3786772</v>
      </c>
      <c r="K41" t="s">
        <v>27</v>
      </c>
      <c r="L41">
        <v>32941</v>
      </c>
      <c r="M41" t="s">
        <v>10</v>
      </c>
      <c r="N41">
        <v>10572</v>
      </c>
      <c r="O41">
        <v>2137674</v>
      </c>
      <c r="P41">
        <v>38.6</v>
      </c>
      <c r="Q41" s="6">
        <v>43885.265879629631</v>
      </c>
    </row>
    <row r="42" spans="9:18" x14ac:dyDescent="0.25">
      <c r="I42" t="s">
        <v>29</v>
      </c>
      <c r="J42">
        <v>3786772</v>
      </c>
      <c r="K42" t="s">
        <v>27</v>
      </c>
      <c r="L42">
        <v>32941</v>
      </c>
      <c r="M42" t="s">
        <v>10</v>
      </c>
      <c r="N42">
        <v>10572</v>
      </c>
      <c r="O42">
        <v>2137674</v>
      </c>
      <c r="P42">
        <v>44</v>
      </c>
      <c r="Q42" s="6">
        <v>43885.2658912037</v>
      </c>
    </row>
    <row r="43" spans="9:18" x14ac:dyDescent="0.25">
      <c r="I43" t="s">
        <v>29</v>
      </c>
      <c r="J43">
        <v>3786772</v>
      </c>
      <c r="K43" t="s">
        <v>27</v>
      </c>
      <c r="L43">
        <v>32941</v>
      </c>
      <c r="M43" t="s">
        <v>10</v>
      </c>
      <c r="N43">
        <v>10572</v>
      </c>
      <c r="O43">
        <v>2137674</v>
      </c>
      <c r="P43">
        <v>39</v>
      </c>
      <c r="Q43" s="6">
        <v>43885.2658912037</v>
      </c>
    </row>
    <row r="44" spans="9:18" x14ac:dyDescent="0.25">
      <c r="I44" s="15" t="s">
        <v>29</v>
      </c>
      <c r="J44" s="15">
        <v>3786772</v>
      </c>
      <c r="K44" s="15" t="s">
        <v>27</v>
      </c>
      <c r="L44" s="15">
        <v>32941</v>
      </c>
      <c r="M44" s="15" t="s">
        <v>10</v>
      </c>
      <c r="N44" s="15">
        <v>10572</v>
      </c>
      <c r="O44" s="15">
        <v>2137674</v>
      </c>
      <c r="P44" s="15">
        <v>49.7</v>
      </c>
      <c r="Q44" s="17">
        <v>43885.265902777777</v>
      </c>
      <c r="R44" s="15">
        <f>SUM(P40:P44)</f>
        <v>215.3</v>
      </c>
    </row>
    <row r="45" spans="9:18" x14ac:dyDescent="0.25">
      <c r="I45" t="s">
        <v>29</v>
      </c>
      <c r="J45">
        <v>3786772</v>
      </c>
      <c r="K45" t="s">
        <v>27</v>
      </c>
      <c r="L45">
        <v>32941</v>
      </c>
      <c r="M45" t="s">
        <v>10</v>
      </c>
      <c r="N45">
        <v>10572</v>
      </c>
      <c r="O45">
        <v>2137674</v>
      </c>
      <c r="P45">
        <v>40.299999999999997</v>
      </c>
      <c r="Q45" s="6">
        <v>43885.471886574072</v>
      </c>
    </row>
    <row r="46" spans="9:18" x14ac:dyDescent="0.25">
      <c r="I46" t="s">
        <v>29</v>
      </c>
      <c r="J46">
        <v>3786772</v>
      </c>
      <c r="K46" t="s">
        <v>27</v>
      </c>
      <c r="L46">
        <v>32941</v>
      </c>
      <c r="M46" t="s">
        <v>10</v>
      </c>
      <c r="N46">
        <v>10572</v>
      </c>
      <c r="O46">
        <v>2137674</v>
      </c>
      <c r="P46">
        <v>39.9</v>
      </c>
      <c r="Q46" s="6">
        <v>43885.471886574072</v>
      </c>
    </row>
    <row r="47" spans="9:18" x14ac:dyDescent="0.25">
      <c r="I47" t="s">
        <v>29</v>
      </c>
      <c r="J47">
        <v>3786772</v>
      </c>
      <c r="K47" t="s">
        <v>27</v>
      </c>
      <c r="L47">
        <v>32941</v>
      </c>
      <c r="M47" t="s">
        <v>10</v>
      </c>
      <c r="N47">
        <v>10572</v>
      </c>
      <c r="O47">
        <v>2137674</v>
      </c>
      <c r="P47">
        <v>41.6</v>
      </c>
      <c r="Q47" s="6">
        <v>43885.471886574072</v>
      </c>
    </row>
    <row r="48" spans="9:18" x14ac:dyDescent="0.25">
      <c r="I48" t="s">
        <v>29</v>
      </c>
      <c r="J48">
        <v>3786772</v>
      </c>
      <c r="K48" t="s">
        <v>27</v>
      </c>
      <c r="L48">
        <v>32941</v>
      </c>
      <c r="M48" t="s">
        <v>10</v>
      </c>
      <c r="N48">
        <v>10572</v>
      </c>
      <c r="O48">
        <v>2137674</v>
      </c>
      <c r="P48">
        <v>38.799999999999997</v>
      </c>
      <c r="Q48" s="6">
        <v>43885.471898148149</v>
      </c>
    </row>
    <row r="49" spans="9:18" x14ac:dyDescent="0.25">
      <c r="I49" t="s">
        <v>29</v>
      </c>
      <c r="J49">
        <v>3786772</v>
      </c>
      <c r="K49" t="s">
        <v>27</v>
      </c>
      <c r="L49">
        <v>32941</v>
      </c>
      <c r="M49" t="s">
        <v>10</v>
      </c>
      <c r="N49">
        <v>10572</v>
      </c>
      <c r="O49">
        <v>2137674</v>
      </c>
      <c r="P49">
        <v>40.700000000000003</v>
      </c>
      <c r="Q49" s="6">
        <v>43885.471898148149</v>
      </c>
    </row>
    <row r="50" spans="9:18" x14ac:dyDescent="0.25">
      <c r="I50" t="s">
        <v>29</v>
      </c>
      <c r="J50">
        <v>3786772</v>
      </c>
      <c r="K50" t="s">
        <v>27</v>
      </c>
      <c r="L50">
        <v>32941</v>
      </c>
      <c r="M50" t="s">
        <v>10</v>
      </c>
      <c r="N50">
        <v>10572</v>
      </c>
      <c r="O50">
        <v>2137674</v>
      </c>
      <c r="P50">
        <v>43.8</v>
      </c>
      <c r="Q50" s="6">
        <v>43885.471898148149</v>
      </c>
    </row>
    <row r="51" spans="9:18" x14ac:dyDescent="0.25">
      <c r="I51" s="15" t="s">
        <v>29</v>
      </c>
      <c r="J51" s="15">
        <v>3786772</v>
      </c>
      <c r="K51" s="15" t="s">
        <v>27</v>
      </c>
      <c r="L51" s="15">
        <v>32941</v>
      </c>
      <c r="M51" s="15" t="s">
        <v>10</v>
      </c>
      <c r="N51" s="15">
        <v>10572</v>
      </c>
      <c r="O51" s="15">
        <v>2137674</v>
      </c>
      <c r="P51" s="15">
        <v>43.5</v>
      </c>
      <c r="Q51" s="17">
        <v>43885.471898148149</v>
      </c>
      <c r="R51" s="15">
        <f>SUM(P45:P51)</f>
        <v>288.59999999999997</v>
      </c>
    </row>
    <row r="52" spans="9:18" x14ac:dyDescent="0.25">
      <c r="I52" t="s">
        <v>29</v>
      </c>
      <c r="J52">
        <v>3786601</v>
      </c>
      <c r="K52" t="s">
        <v>27</v>
      </c>
      <c r="L52">
        <v>32911</v>
      </c>
      <c r="M52" t="s">
        <v>10</v>
      </c>
      <c r="N52">
        <v>10500</v>
      </c>
      <c r="O52">
        <v>2137674</v>
      </c>
      <c r="P52">
        <v>45.8</v>
      </c>
      <c r="Q52" s="6">
        <v>43885.495636574073</v>
      </c>
    </row>
    <row r="53" spans="9:18" x14ac:dyDescent="0.25">
      <c r="I53" t="s">
        <v>29</v>
      </c>
      <c r="J53">
        <v>3786772</v>
      </c>
      <c r="K53" t="s">
        <v>27</v>
      </c>
      <c r="L53">
        <v>32941</v>
      </c>
      <c r="M53" t="s">
        <v>10</v>
      </c>
      <c r="N53">
        <v>10572</v>
      </c>
      <c r="O53">
        <v>2137674</v>
      </c>
      <c r="P53">
        <v>42.3</v>
      </c>
      <c r="Q53" s="6">
        <v>43885.536099537036</v>
      </c>
    </row>
    <row r="54" spans="9:18" x14ac:dyDescent="0.25">
      <c r="I54" t="s">
        <v>29</v>
      </c>
      <c r="J54">
        <v>3786847</v>
      </c>
      <c r="K54" t="s">
        <v>27</v>
      </c>
      <c r="L54">
        <v>32941</v>
      </c>
      <c r="M54" t="s">
        <v>10</v>
      </c>
      <c r="N54">
        <v>10613</v>
      </c>
      <c r="O54">
        <v>2137674</v>
      </c>
      <c r="P54">
        <v>41.9</v>
      </c>
      <c r="Q54" s="6">
        <v>43885.686145833337</v>
      </c>
    </row>
    <row r="55" spans="9:18" x14ac:dyDescent="0.25">
      <c r="I55" t="s">
        <v>29</v>
      </c>
      <c r="J55">
        <v>3786847</v>
      </c>
      <c r="K55" t="s">
        <v>27</v>
      </c>
      <c r="L55">
        <v>32941</v>
      </c>
      <c r="M55" t="s">
        <v>10</v>
      </c>
      <c r="N55">
        <v>10613</v>
      </c>
      <c r="O55">
        <v>2137674</v>
      </c>
      <c r="P55">
        <v>45.2</v>
      </c>
      <c r="Q55" s="6">
        <v>43885.686145833337</v>
      </c>
    </row>
    <row r="56" spans="9:18" x14ac:dyDescent="0.25">
      <c r="I56" t="s">
        <v>29</v>
      </c>
      <c r="J56">
        <v>3786847</v>
      </c>
      <c r="K56" t="s">
        <v>27</v>
      </c>
      <c r="L56">
        <v>32941</v>
      </c>
      <c r="M56" t="s">
        <v>10</v>
      </c>
      <c r="N56">
        <v>10613</v>
      </c>
      <c r="O56">
        <v>2137674</v>
      </c>
      <c r="P56">
        <v>41.9</v>
      </c>
      <c r="Q56" s="6">
        <v>43885.686145833337</v>
      </c>
    </row>
    <row r="57" spans="9:18" x14ac:dyDescent="0.25">
      <c r="I57" t="s">
        <v>29</v>
      </c>
      <c r="J57">
        <v>3786772</v>
      </c>
      <c r="K57" t="s">
        <v>27</v>
      </c>
      <c r="L57">
        <v>32941</v>
      </c>
      <c r="M57" t="s">
        <v>10</v>
      </c>
      <c r="N57">
        <v>10572</v>
      </c>
      <c r="O57">
        <v>2137674</v>
      </c>
      <c r="P57">
        <v>38.6</v>
      </c>
      <c r="Q57" s="6">
        <v>43885.775219907409</v>
      </c>
    </row>
    <row r="58" spans="9:18" x14ac:dyDescent="0.25">
      <c r="I58" t="s">
        <v>29</v>
      </c>
      <c r="J58">
        <v>3786672</v>
      </c>
      <c r="K58" t="s">
        <v>27</v>
      </c>
      <c r="L58">
        <v>32931</v>
      </c>
      <c r="M58" t="s">
        <v>10</v>
      </c>
      <c r="N58">
        <v>10506</v>
      </c>
      <c r="O58">
        <v>2137674</v>
      </c>
      <c r="P58">
        <v>47.3</v>
      </c>
      <c r="Q58" s="6">
        <v>43885.780960648146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68"/>
  <sheetViews>
    <sheetView workbookViewId="0">
      <selection activeCell="H23" sqref="H23"/>
    </sheetView>
  </sheetViews>
  <sheetFormatPr defaultRowHeight="15" x14ac:dyDescent="0.25"/>
  <cols>
    <col min="5" max="5" width="11.42578125" bestFit="1" customWidth="1"/>
    <col min="12" max="12" width="6" bestFit="1" customWidth="1"/>
    <col min="14" max="14" width="8.28515625" customWidth="1"/>
    <col min="17" max="17" width="5" bestFit="1" customWidth="1"/>
    <col min="18" max="18" width="14.85546875" bestFit="1" customWidth="1"/>
  </cols>
  <sheetData>
    <row r="2" spans="1:19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35</v>
      </c>
      <c r="Q2" t="s">
        <v>36</v>
      </c>
      <c r="R2" t="s">
        <v>37</v>
      </c>
    </row>
    <row r="3" spans="1:19" x14ac:dyDescent="0.25">
      <c r="A3" s="15">
        <v>20200221</v>
      </c>
      <c r="B3" s="15">
        <v>114043</v>
      </c>
      <c r="C3" s="15">
        <v>4369613</v>
      </c>
      <c r="D3" s="15" t="s">
        <v>0</v>
      </c>
      <c r="E3" s="15">
        <v>32941</v>
      </c>
      <c r="F3" s="15" t="s">
        <v>14</v>
      </c>
      <c r="G3" s="15">
        <v>256.89999999999998</v>
      </c>
      <c r="I3" t="s">
        <v>29</v>
      </c>
      <c r="J3">
        <v>3786587</v>
      </c>
      <c r="K3" t="s">
        <v>27</v>
      </c>
      <c r="L3">
        <v>32911</v>
      </c>
      <c r="M3" t="s">
        <v>14</v>
      </c>
      <c r="N3">
        <v>10455</v>
      </c>
      <c r="O3">
        <v>2137674</v>
      </c>
      <c r="P3" t="s">
        <v>30</v>
      </c>
      <c r="Q3">
        <v>45.4</v>
      </c>
      <c r="R3" s="6">
        <v>43881.531990740739</v>
      </c>
    </row>
    <row r="4" spans="1:19" x14ac:dyDescent="0.25">
      <c r="A4" s="15">
        <v>20200221</v>
      </c>
      <c r="B4" s="15">
        <v>213208</v>
      </c>
      <c r="C4" s="15">
        <v>4370250</v>
      </c>
      <c r="D4" s="15" t="s">
        <v>0</v>
      </c>
      <c r="E4" s="15">
        <v>32901</v>
      </c>
      <c r="F4" s="15" t="s">
        <v>14</v>
      </c>
      <c r="G4" s="15">
        <v>39.299999999999997</v>
      </c>
      <c r="I4" s="15" t="s">
        <v>29</v>
      </c>
      <c r="J4" s="15">
        <v>3786587</v>
      </c>
      <c r="K4" s="15" t="s">
        <v>27</v>
      </c>
      <c r="L4" s="15">
        <v>32911</v>
      </c>
      <c r="M4" s="15" t="s">
        <v>14</v>
      </c>
      <c r="N4" s="15">
        <v>10455</v>
      </c>
      <c r="O4" s="15">
        <v>2137674</v>
      </c>
      <c r="P4" s="15" t="s">
        <v>30</v>
      </c>
      <c r="Q4" s="15">
        <v>45</v>
      </c>
      <c r="R4" s="17">
        <v>43881.532002314816</v>
      </c>
      <c r="S4" s="15">
        <f>SUM(Q3:Q4)</f>
        <v>90.4</v>
      </c>
    </row>
    <row r="5" spans="1:19" x14ac:dyDescent="0.25">
      <c r="A5" s="15">
        <v>20200221</v>
      </c>
      <c r="B5" s="15">
        <v>223950</v>
      </c>
      <c r="C5" s="15">
        <v>4370262</v>
      </c>
      <c r="D5" s="15" t="s">
        <v>0</v>
      </c>
      <c r="E5" s="15">
        <v>32931</v>
      </c>
      <c r="F5" s="15" t="s">
        <v>14</v>
      </c>
      <c r="G5" s="15">
        <v>80.3</v>
      </c>
      <c r="I5" t="s">
        <v>29</v>
      </c>
      <c r="J5">
        <v>3786671</v>
      </c>
      <c r="K5" t="s">
        <v>27</v>
      </c>
      <c r="L5">
        <v>32931</v>
      </c>
      <c r="M5" t="s">
        <v>14</v>
      </c>
      <c r="N5">
        <v>10494</v>
      </c>
      <c r="O5">
        <v>2137674</v>
      </c>
      <c r="P5" t="s">
        <v>30</v>
      </c>
      <c r="Q5">
        <v>34.200000000000003</v>
      </c>
      <c r="R5" s="6">
        <v>43881.869768518518</v>
      </c>
    </row>
    <row r="6" spans="1:19" x14ac:dyDescent="0.25">
      <c r="A6" s="15">
        <v>20200221</v>
      </c>
      <c r="B6" s="15">
        <v>225518</v>
      </c>
      <c r="C6" s="15">
        <v>4370285</v>
      </c>
      <c r="D6" s="15" t="s">
        <v>0</v>
      </c>
      <c r="E6" s="15">
        <v>32941</v>
      </c>
      <c r="F6" s="15" t="s">
        <v>14</v>
      </c>
      <c r="G6" s="15">
        <v>201</v>
      </c>
      <c r="I6" t="s">
        <v>29</v>
      </c>
      <c r="J6">
        <v>3786671</v>
      </c>
      <c r="K6" t="s">
        <v>27</v>
      </c>
      <c r="L6">
        <v>32931</v>
      </c>
      <c r="M6" t="s">
        <v>14</v>
      </c>
      <c r="N6">
        <v>10494</v>
      </c>
      <c r="O6">
        <v>2137674</v>
      </c>
      <c r="P6" t="s">
        <v>30</v>
      </c>
      <c r="Q6">
        <v>33.1</v>
      </c>
      <c r="R6" s="6">
        <v>43881.869780092595</v>
      </c>
    </row>
    <row r="7" spans="1:19" x14ac:dyDescent="0.25">
      <c r="A7" s="15">
        <v>20200224</v>
      </c>
      <c r="B7" s="15">
        <v>103407</v>
      </c>
      <c r="C7" s="15">
        <v>4371262</v>
      </c>
      <c r="D7" s="15" t="s">
        <v>0</v>
      </c>
      <c r="E7" s="15">
        <v>32941</v>
      </c>
      <c r="F7" s="15" t="s">
        <v>14</v>
      </c>
      <c r="G7" s="15">
        <v>207.4</v>
      </c>
      <c r="I7" t="s">
        <v>29</v>
      </c>
      <c r="J7">
        <v>3786671</v>
      </c>
      <c r="K7" t="s">
        <v>27</v>
      </c>
      <c r="L7">
        <v>32931</v>
      </c>
      <c r="M7" t="s">
        <v>14</v>
      </c>
      <c r="N7">
        <v>10494</v>
      </c>
      <c r="O7">
        <v>2137674</v>
      </c>
      <c r="P7" t="s">
        <v>30</v>
      </c>
      <c r="Q7">
        <v>32.1</v>
      </c>
      <c r="R7" s="6">
        <v>43881.869780092595</v>
      </c>
    </row>
    <row r="8" spans="1:19" x14ac:dyDescent="0.25">
      <c r="A8" s="15">
        <v>20200221</v>
      </c>
      <c r="B8" s="15">
        <v>112444</v>
      </c>
      <c r="C8" s="15">
        <v>4369564</v>
      </c>
      <c r="D8" s="15" t="s">
        <v>0</v>
      </c>
      <c r="E8" s="15">
        <v>32941</v>
      </c>
      <c r="F8" s="15" t="s">
        <v>14</v>
      </c>
      <c r="G8" s="15">
        <v>43.8</v>
      </c>
      <c r="I8" t="s">
        <v>29</v>
      </c>
      <c r="J8">
        <v>3786671</v>
      </c>
      <c r="K8" t="s">
        <v>27</v>
      </c>
      <c r="L8">
        <v>32931</v>
      </c>
      <c r="M8" t="s">
        <v>14</v>
      </c>
      <c r="N8">
        <v>10494</v>
      </c>
      <c r="O8">
        <v>2137674</v>
      </c>
      <c r="P8" t="s">
        <v>30</v>
      </c>
      <c r="Q8">
        <v>34.4</v>
      </c>
      <c r="R8" s="6">
        <v>43881.869780092595</v>
      </c>
    </row>
    <row r="9" spans="1:19" x14ac:dyDescent="0.25">
      <c r="A9" s="15">
        <v>20200220</v>
      </c>
      <c r="B9" s="15">
        <v>124605</v>
      </c>
      <c r="C9" s="15">
        <v>4367393</v>
      </c>
      <c r="D9" s="15" t="s">
        <v>0</v>
      </c>
      <c r="E9" s="15">
        <v>32911</v>
      </c>
      <c r="F9" s="15" t="s">
        <v>14</v>
      </c>
      <c r="G9" s="15">
        <v>90.4</v>
      </c>
      <c r="I9" s="15" t="s">
        <v>29</v>
      </c>
      <c r="J9" s="15">
        <v>3786671</v>
      </c>
      <c r="K9" s="15" t="s">
        <v>27</v>
      </c>
      <c r="L9" s="15">
        <v>32931</v>
      </c>
      <c r="M9" s="15" t="s">
        <v>14</v>
      </c>
      <c r="N9" s="15">
        <v>10494</v>
      </c>
      <c r="O9" s="15">
        <v>2137674</v>
      </c>
      <c r="P9" s="15" t="s">
        <v>30</v>
      </c>
      <c r="Q9" s="15">
        <v>31.5</v>
      </c>
      <c r="R9" s="17">
        <v>43881.869780092595</v>
      </c>
      <c r="S9" s="15">
        <f>SUM(Q5:Q9)</f>
        <v>165.3</v>
      </c>
    </row>
    <row r="10" spans="1:19" x14ac:dyDescent="0.25">
      <c r="A10" s="15">
        <v>20200221</v>
      </c>
      <c r="B10" s="15">
        <v>125343</v>
      </c>
      <c r="C10" s="15">
        <v>4369709</v>
      </c>
      <c r="D10" s="15" t="s">
        <v>0</v>
      </c>
      <c r="E10" s="15">
        <v>32941</v>
      </c>
      <c r="F10" s="15" t="s">
        <v>14</v>
      </c>
      <c r="G10" s="15">
        <v>42</v>
      </c>
      <c r="I10" t="s">
        <v>29</v>
      </c>
      <c r="J10">
        <v>3786707</v>
      </c>
      <c r="K10" t="s">
        <v>27</v>
      </c>
      <c r="L10">
        <v>32941</v>
      </c>
      <c r="M10" t="s">
        <v>14</v>
      </c>
      <c r="N10">
        <v>10535</v>
      </c>
      <c r="O10">
        <v>2137674</v>
      </c>
      <c r="P10" t="s">
        <v>30</v>
      </c>
      <c r="Q10">
        <v>41</v>
      </c>
      <c r="R10" s="6">
        <v>43882.00341435185</v>
      </c>
    </row>
    <row r="11" spans="1:19" x14ac:dyDescent="0.25">
      <c r="A11" s="15">
        <v>20200221</v>
      </c>
      <c r="B11" s="15">
        <v>204055</v>
      </c>
      <c r="C11" s="15">
        <v>4370217</v>
      </c>
      <c r="D11" s="15" t="s">
        <v>0</v>
      </c>
      <c r="E11" s="15">
        <v>32941</v>
      </c>
      <c r="F11" s="15" t="s">
        <v>14</v>
      </c>
      <c r="G11" s="15">
        <v>247.8</v>
      </c>
      <c r="I11" t="s">
        <v>29</v>
      </c>
      <c r="J11">
        <v>3786707</v>
      </c>
      <c r="K11" t="s">
        <v>27</v>
      </c>
      <c r="L11">
        <v>32941</v>
      </c>
      <c r="M11" t="s">
        <v>14</v>
      </c>
      <c r="N11">
        <v>10535</v>
      </c>
      <c r="O11">
        <v>2137674</v>
      </c>
      <c r="P11" t="s">
        <v>30</v>
      </c>
      <c r="Q11">
        <v>38.700000000000003</v>
      </c>
      <c r="R11" s="6">
        <v>43882.003425925926</v>
      </c>
    </row>
    <row r="12" spans="1:19" x14ac:dyDescent="0.25">
      <c r="A12" s="15">
        <v>20200220</v>
      </c>
      <c r="B12" s="15">
        <v>205230</v>
      </c>
      <c r="C12" s="15">
        <v>4368056</v>
      </c>
      <c r="D12" s="15" t="s">
        <v>0</v>
      </c>
      <c r="E12" s="15">
        <v>32931</v>
      </c>
      <c r="F12" s="15" t="s">
        <v>14</v>
      </c>
      <c r="G12" s="15">
        <v>165.3</v>
      </c>
      <c r="I12" s="15" t="s">
        <v>29</v>
      </c>
      <c r="J12" s="15">
        <v>3786707</v>
      </c>
      <c r="K12" s="15" t="s">
        <v>27</v>
      </c>
      <c r="L12" s="15">
        <v>32941</v>
      </c>
      <c r="M12" s="15" t="s">
        <v>14</v>
      </c>
      <c r="N12" s="15">
        <v>10535</v>
      </c>
      <c r="O12" s="15">
        <v>2137674</v>
      </c>
      <c r="P12" s="15" t="s">
        <v>30</v>
      </c>
      <c r="Q12" s="15">
        <v>41.6</v>
      </c>
      <c r="R12" s="17">
        <v>43882.003425925926</v>
      </c>
      <c r="S12" s="15">
        <f>SUM(Q10:Q12)</f>
        <v>121.30000000000001</v>
      </c>
    </row>
    <row r="13" spans="1:19" x14ac:dyDescent="0.25">
      <c r="A13" s="15">
        <v>20200224</v>
      </c>
      <c r="B13" s="15">
        <v>105249</v>
      </c>
      <c r="C13" s="15">
        <v>4371286</v>
      </c>
      <c r="D13" s="15" t="s">
        <v>0</v>
      </c>
      <c r="E13" s="15">
        <v>32911</v>
      </c>
      <c r="F13" s="15" t="s">
        <v>14</v>
      </c>
      <c r="G13" s="15">
        <v>120.7</v>
      </c>
      <c r="I13" s="15" t="s">
        <v>29</v>
      </c>
      <c r="J13" s="15">
        <v>3786707</v>
      </c>
      <c r="K13" s="15" t="s">
        <v>27</v>
      </c>
      <c r="L13" s="15">
        <v>32941</v>
      </c>
      <c r="M13" s="15" t="s">
        <v>14</v>
      </c>
      <c r="N13" s="15">
        <v>10535</v>
      </c>
      <c r="O13" s="15">
        <v>2137674</v>
      </c>
      <c r="P13" s="15" t="s">
        <v>30</v>
      </c>
      <c r="Q13" s="15">
        <v>43.8</v>
      </c>
      <c r="R13" s="17">
        <v>43882.475497685184</v>
      </c>
      <c r="S13" s="15">
        <v>43.8</v>
      </c>
    </row>
    <row r="14" spans="1:19" x14ac:dyDescent="0.25">
      <c r="A14" s="15">
        <v>20200221</v>
      </c>
      <c r="B14" s="15">
        <v>170913</v>
      </c>
      <c r="C14" s="15">
        <v>4369939</v>
      </c>
      <c r="D14" s="15" t="s">
        <v>0</v>
      </c>
      <c r="E14" s="15">
        <v>32941</v>
      </c>
      <c r="F14" s="15" t="s">
        <v>14</v>
      </c>
      <c r="G14" s="15">
        <v>42.2</v>
      </c>
      <c r="I14" t="s">
        <v>29</v>
      </c>
      <c r="J14">
        <v>3786707</v>
      </c>
      <c r="K14" t="s">
        <v>27</v>
      </c>
      <c r="L14">
        <v>32941</v>
      </c>
      <c r="M14" t="s">
        <v>14</v>
      </c>
      <c r="N14">
        <v>10535</v>
      </c>
      <c r="O14">
        <v>2137674</v>
      </c>
      <c r="P14" t="s">
        <v>30</v>
      </c>
      <c r="Q14">
        <v>40.5</v>
      </c>
      <c r="R14" s="6">
        <v>43882.486562500002</v>
      </c>
    </row>
    <row r="15" spans="1:19" x14ac:dyDescent="0.25">
      <c r="A15" s="15">
        <v>20200221</v>
      </c>
      <c r="B15" s="15">
        <v>204055</v>
      </c>
      <c r="C15" s="15">
        <v>4370217</v>
      </c>
      <c r="D15" s="15" t="s">
        <v>0</v>
      </c>
      <c r="E15" s="15">
        <v>32851</v>
      </c>
      <c r="F15" s="15" t="s">
        <v>14</v>
      </c>
      <c r="G15" s="15">
        <v>320.2</v>
      </c>
      <c r="I15" t="s">
        <v>29</v>
      </c>
      <c r="J15">
        <v>3786707</v>
      </c>
      <c r="K15" t="s">
        <v>27</v>
      </c>
      <c r="L15">
        <v>32941</v>
      </c>
      <c r="M15" t="s">
        <v>14</v>
      </c>
      <c r="N15">
        <v>10535</v>
      </c>
      <c r="O15">
        <v>2137674</v>
      </c>
      <c r="P15" t="s">
        <v>30</v>
      </c>
      <c r="Q15">
        <v>44</v>
      </c>
      <c r="R15" s="6">
        <v>43882.486574074072</v>
      </c>
    </row>
    <row r="16" spans="1:19" x14ac:dyDescent="0.25">
      <c r="A16" s="15">
        <v>20200221</v>
      </c>
      <c r="B16" s="15">
        <v>211746</v>
      </c>
      <c r="C16" s="15">
        <v>4370249</v>
      </c>
      <c r="D16" s="15" t="s">
        <v>0</v>
      </c>
      <c r="E16" s="15">
        <v>32941</v>
      </c>
      <c r="F16" s="15" t="s">
        <v>14</v>
      </c>
      <c r="G16" s="15">
        <v>294.3</v>
      </c>
      <c r="I16" t="s">
        <v>29</v>
      </c>
      <c r="J16">
        <v>3786707</v>
      </c>
      <c r="K16" t="s">
        <v>27</v>
      </c>
      <c r="L16">
        <v>32941</v>
      </c>
      <c r="M16" t="s">
        <v>14</v>
      </c>
      <c r="N16">
        <v>10535</v>
      </c>
      <c r="O16">
        <v>2137674</v>
      </c>
      <c r="P16" t="s">
        <v>30</v>
      </c>
      <c r="Q16">
        <v>41.4</v>
      </c>
      <c r="R16" s="6">
        <v>43882.486574074072</v>
      </c>
    </row>
    <row r="17" spans="1:19" x14ac:dyDescent="0.25">
      <c r="A17" s="15">
        <v>20200221</v>
      </c>
      <c r="B17" s="15">
        <v>456</v>
      </c>
      <c r="C17" s="15">
        <v>4368289</v>
      </c>
      <c r="D17" s="15" t="s">
        <v>0</v>
      </c>
      <c r="E17" s="15">
        <v>32941</v>
      </c>
      <c r="F17" s="15" t="s">
        <v>14</v>
      </c>
      <c r="G17" s="15">
        <v>121.3</v>
      </c>
      <c r="I17" t="s">
        <v>29</v>
      </c>
      <c r="J17">
        <v>3786707</v>
      </c>
      <c r="K17" t="s">
        <v>27</v>
      </c>
      <c r="L17">
        <v>32941</v>
      </c>
      <c r="M17" t="s">
        <v>14</v>
      </c>
      <c r="N17">
        <v>10535</v>
      </c>
      <c r="O17">
        <v>2137674</v>
      </c>
      <c r="P17" t="s">
        <v>30</v>
      </c>
      <c r="Q17">
        <v>43.9</v>
      </c>
      <c r="R17" s="6">
        <v>43882.486574074072</v>
      </c>
    </row>
    <row r="18" spans="1:19" x14ac:dyDescent="0.25">
      <c r="I18" t="s">
        <v>29</v>
      </c>
      <c r="J18">
        <v>3786707</v>
      </c>
      <c r="K18" t="s">
        <v>27</v>
      </c>
      <c r="L18">
        <v>32941</v>
      </c>
      <c r="M18" t="s">
        <v>14</v>
      </c>
      <c r="N18">
        <v>10535</v>
      </c>
      <c r="O18">
        <v>2137674</v>
      </c>
      <c r="P18" t="s">
        <v>30</v>
      </c>
      <c r="Q18">
        <v>43.8</v>
      </c>
      <c r="R18" s="6">
        <v>43882.486585648148</v>
      </c>
    </row>
    <row r="19" spans="1:19" x14ac:dyDescent="0.25">
      <c r="I19" s="15" t="s">
        <v>29</v>
      </c>
      <c r="J19" s="15">
        <v>3786707</v>
      </c>
      <c r="K19" s="15" t="s">
        <v>27</v>
      </c>
      <c r="L19" s="15">
        <v>32941</v>
      </c>
      <c r="M19" s="15" t="s">
        <v>14</v>
      </c>
      <c r="N19" s="15">
        <v>10535</v>
      </c>
      <c r="O19" s="15">
        <v>2137674</v>
      </c>
      <c r="P19" s="15" t="s">
        <v>30</v>
      </c>
      <c r="Q19" s="15">
        <v>43.3</v>
      </c>
      <c r="R19" s="17">
        <v>43882.486585648148</v>
      </c>
      <c r="S19" s="15">
        <f>SUM(Q14:Q19)</f>
        <v>256.90000000000003</v>
      </c>
    </row>
    <row r="20" spans="1:19" x14ac:dyDescent="0.25">
      <c r="I20" s="15" t="s">
        <v>29</v>
      </c>
      <c r="J20" s="15">
        <v>3786707</v>
      </c>
      <c r="K20" s="15" t="s">
        <v>27</v>
      </c>
      <c r="L20" s="15">
        <v>32941</v>
      </c>
      <c r="M20" s="15" t="s">
        <v>14</v>
      </c>
      <c r="N20" s="15">
        <v>10535</v>
      </c>
      <c r="O20" s="15">
        <v>2137674</v>
      </c>
      <c r="P20" s="15" t="s">
        <v>30</v>
      </c>
      <c r="Q20" s="15">
        <v>42</v>
      </c>
      <c r="R20" s="17">
        <v>43882.537291666667</v>
      </c>
      <c r="S20" s="15">
        <v>42</v>
      </c>
    </row>
    <row r="21" spans="1:19" x14ac:dyDescent="0.25">
      <c r="I21" s="15" t="s">
        <v>29</v>
      </c>
      <c r="J21" s="15">
        <v>3786707</v>
      </c>
      <c r="K21" s="15" t="s">
        <v>27</v>
      </c>
      <c r="L21" s="15">
        <v>32941</v>
      </c>
      <c r="M21" s="15" t="s">
        <v>14</v>
      </c>
      <c r="N21" s="15">
        <v>10535</v>
      </c>
      <c r="O21" s="15">
        <v>2137674</v>
      </c>
      <c r="P21" s="15" t="s">
        <v>30</v>
      </c>
      <c r="Q21" s="15">
        <v>42.2</v>
      </c>
      <c r="R21" s="17">
        <v>43882.714722222219</v>
      </c>
      <c r="S21" s="15">
        <v>42.2</v>
      </c>
    </row>
    <row r="22" spans="1:19" x14ac:dyDescent="0.25">
      <c r="I22" t="s">
        <v>29</v>
      </c>
      <c r="J22">
        <v>3786722</v>
      </c>
      <c r="K22" t="s">
        <v>27</v>
      </c>
      <c r="L22">
        <v>32851</v>
      </c>
      <c r="M22" t="s">
        <v>14</v>
      </c>
      <c r="N22">
        <v>10573</v>
      </c>
      <c r="O22">
        <v>2137674</v>
      </c>
      <c r="P22" t="s">
        <v>30</v>
      </c>
      <c r="Q22">
        <v>40.1</v>
      </c>
      <c r="R22" s="6">
        <v>43882.861689814818</v>
      </c>
    </row>
    <row r="23" spans="1:19" x14ac:dyDescent="0.25">
      <c r="I23" t="s">
        <v>29</v>
      </c>
      <c r="J23">
        <v>3786722</v>
      </c>
      <c r="K23" t="s">
        <v>27</v>
      </c>
      <c r="L23">
        <v>32851</v>
      </c>
      <c r="M23" t="s">
        <v>14</v>
      </c>
      <c r="N23">
        <v>10573</v>
      </c>
      <c r="O23">
        <v>2137674</v>
      </c>
      <c r="P23" t="s">
        <v>30</v>
      </c>
      <c r="Q23">
        <v>38</v>
      </c>
      <c r="R23" s="6">
        <v>43882.861701388887</v>
      </c>
    </row>
    <row r="24" spans="1:19" x14ac:dyDescent="0.25">
      <c r="I24" t="s">
        <v>29</v>
      </c>
      <c r="J24">
        <v>3786722</v>
      </c>
      <c r="K24" t="s">
        <v>27</v>
      </c>
      <c r="L24">
        <v>32851</v>
      </c>
      <c r="M24" t="s">
        <v>14</v>
      </c>
      <c r="N24">
        <v>10573</v>
      </c>
      <c r="O24">
        <v>2137674</v>
      </c>
      <c r="P24" t="s">
        <v>30</v>
      </c>
      <c r="Q24">
        <v>37.9</v>
      </c>
      <c r="R24" s="6">
        <v>43882.861701388887</v>
      </c>
    </row>
    <row r="25" spans="1:19" x14ac:dyDescent="0.25">
      <c r="I25" t="s">
        <v>29</v>
      </c>
      <c r="J25">
        <v>3786722</v>
      </c>
      <c r="K25" t="s">
        <v>27</v>
      </c>
      <c r="L25">
        <v>32851</v>
      </c>
      <c r="M25" t="s">
        <v>14</v>
      </c>
      <c r="N25">
        <v>10573</v>
      </c>
      <c r="O25">
        <v>2137674</v>
      </c>
      <c r="P25" t="s">
        <v>30</v>
      </c>
      <c r="Q25">
        <v>39.1</v>
      </c>
      <c r="R25" s="6">
        <v>43882.861701388887</v>
      </c>
    </row>
    <row r="26" spans="1:19" x14ac:dyDescent="0.25">
      <c r="I26" t="s">
        <v>29</v>
      </c>
      <c r="J26">
        <v>3786722</v>
      </c>
      <c r="K26" t="s">
        <v>27</v>
      </c>
      <c r="L26">
        <v>32851</v>
      </c>
      <c r="M26" t="s">
        <v>14</v>
      </c>
      <c r="N26">
        <v>10573</v>
      </c>
      <c r="O26">
        <v>2137674</v>
      </c>
      <c r="P26" t="s">
        <v>30</v>
      </c>
      <c r="Q26">
        <v>42.3</v>
      </c>
      <c r="R26" s="6">
        <v>43882.861712962964</v>
      </c>
    </row>
    <row r="27" spans="1:19" x14ac:dyDescent="0.25">
      <c r="I27" t="s">
        <v>29</v>
      </c>
      <c r="J27">
        <v>3786722</v>
      </c>
      <c r="K27" t="s">
        <v>27</v>
      </c>
      <c r="L27">
        <v>32851</v>
      </c>
      <c r="M27" t="s">
        <v>14</v>
      </c>
      <c r="N27">
        <v>10573</v>
      </c>
      <c r="O27">
        <v>2137674</v>
      </c>
      <c r="P27" t="s">
        <v>30</v>
      </c>
      <c r="Q27">
        <v>40.200000000000003</v>
      </c>
      <c r="R27" s="6">
        <v>43882.861712962964</v>
      </c>
    </row>
    <row r="28" spans="1:19" x14ac:dyDescent="0.25">
      <c r="I28" t="s">
        <v>29</v>
      </c>
      <c r="J28">
        <v>3786722</v>
      </c>
      <c r="K28" t="s">
        <v>27</v>
      </c>
      <c r="L28">
        <v>32851</v>
      </c>
      <c r="M28" t="s">
        <v>14</v>
      </c>
      <c r="N28">
        <v>10573</v>
      </c>
      <c r="O28">
        <v>2137674</v>
      </c>
      <c r="P28" t="s">
        <v>30</v>
      </c>
      <c r="Q28">
        <v>41.7</v>
      </c>
      <c r="R28" s="6">
        <v>43882.861712962964</v>
      </c>
    </row>
    <row r="29" spans="1:19" x14ac:dyDescent="0.25">
      <c r="I29" t="s">
        <v>29</v>
      </c>
      <c r="J29">
        <v>3786722</v>
      </c>
      <c r="K29" t="s">
        <v>27</v>
      </c>
      <c r="L29">
        <v>32851</v>
      </c>
      <c r="M29" t="s">
        <v>14</v>
      </c>
      <c r="N29">
        <v>10573</v>
      </c>
      <c r="O29">
        <v>2137674</v>
      </c>
      <c r="P29" t="s">
        <v>30</v>
      </c>
      <c r="Q29">
        <v>40.9</v>
      </c>
      <c r="R29" s="6">
        <v>43882.861712962964</v>
      </c>
    </row>
    <row r="30" spans="1:19" x14ac:dyDescent="0.25">
      <c r="I30" t="s">
        <v>29</v>
      </c>
      <c r="J30">
        <v>3786722</v>
      </c>
      <c r="K30" t="s">
        <v>27</v>
      </c>
      <c r="L30">
        <v>32941</v>
      </c>
      <c r="M30" t="s">
        <v>14</v>
      </c>
      <c r="N30">
        <v>10573</v>
      </c>
      <c r="O30">
        <v>2137674</v>
      </c>
      <c r="P30" t="s">
        <v>30</v>
      </c>
      <c r="Q30">
        <v>40.5</v>
      </c>
      <c r="R30" s="6">
        <v>43882.861724537041</v>
      </c>
    </row>
    <row r="31" spans="1:19" x14ac:dyDescent="0.25">
      <c r="I31" t="s">
        <v>29</v>
      </c>
      <c r="J31">
        <v>3786722</v>
      </c>
      <c r="K31" t="s">
        <v>27</v>
      </c>
      <c r="L31">
        <v>32941</v>
      </c>
      <c r="M31" t="s">
        <v>14</v>
      </c>
      <c r="N31">
        <v>10573</v>
      </c>
      <c r="O31">
        <v>2137674</v>
      </c>
      <c r="P31" t="s">
        <v>30</v>
      </c>
      <c r="Q31">
        <v>41.7</v>
      </c>
      <c r="R31" s="6">
        <v>43882.861724537041</v>
      </c>
    </row>
    <row r="32" spans="1:19" x14ac:dyDescent="0.25">
      <c r="I32" t="s">
        <v>29</v>
      </c>
      <c r="J32">
        <v>3786722</v>
      </c>
      <c r="K32" t="s">
        <v>27</v>
      </c>
      <c r="L32">
        <v>32941</v>
      </c>
      <c r="M32" t="s">
        <v>14</v>
      </c>
      <c r="N32">
        <v>10573</v>
      </c>
      <c r="O32">
        <v>2137674</v>
      </c>
      <c r="P32" t="s">
        <v>30</v>
      </c>
      <c r="Q32">
        <v>41.7</v>
      </c>
      <c r="R32" s="6">
        <v>43882.861724537041</v>
      </c>
    </row>
    <row r="33" spans="9:20" x14ac:dyDescent="0.25">
      <c r="I33" t="s">
        <v>29</v>
      </c>
      <c r="J33">
        <v>3786722</v>
      </c>
      <c r="K33" t="s">
        <v>27</v>
      </c>
      <c r="L33">
        <v>32941</v>
      </c>
      <c r="M33" t="s">
        <v>14</v>
      </c>
      <c r="N33">
        <v>10573</v>
      </c>
      <c r="O33">
        <v>2137674</v>
      </c>
      <c r="P33" t="s">
        <v>30</v>
      </c>
      <c r="Q33">
        <v>40.4</v>
      </c>
      <c r="R33" s="6">
        <v>43882.861724537041</v>
      </c>
    </row>
    <row r="34" spans="9:20" x14ac:dyDescent="0.25">
      <c r="I34" t="s">
        <v>29</v>
      </c>
      <c r="J34">
        <v>3786722</v>
      </c>
      <c r="K34" t="s">
        <v>27</v>
      </c>
      <c r="L34">
        <v>32941</v>
      </c>
      <c r="M34" t="s">
        <v>14</v>
      </c>
      <c r="N34">
        <v>10573</v>
      </c>
      <c r="O34">
        <v>2137674</v>
      </c>
      <c r="P34" t="s">
        <v>30</v>
      </c>
      <c r="Q34">
        <v>40.9</v>
      </c>
      <c r="R34" s="6">
        <v>43882.86173611111</v>
      </c>
    </row>
    <row r="35" spans="9:20" x14ac:dyDescent="0.25">
      <c r="I35" s="15" t="s">
        <v>29</v>
      </c>
      <c r="J35" s="15">
        <v>3786722</v>
      </c>
      <c r="K35" s="15" t="s">
        <v>27</v>
      </c>
      <c r="L35" s="15">
        <v>32941</v>
      </c>
      <c r="M35" s="15" t="s">
        <v>14</v>
      </c>
      <c r="N35" s="15">
        <v>10573</v>
      </c>
      <c r="O35" s="15">
        <v>2137674</v>
      </c>
      <c r="P35" s="15" t="s">
        <v>30</v>
      </c>
      <c r="Q35" s="15">
        <v>42.6</v>
      </c>
      <c r="R35" s="17">
        <v>43882.86173611111</v>
      </c>
      <c r="S35" s="15">
        <f>SUM(Q22:Q35)</f>
        <v>567.99999999999989</v>
      </c>
      <c r="T35" s="22">
        <f>SUM(G11,G15)</f>
        <v>568</v>
      </c>
    </row>
    <row r="36" spans="9:20" x14ac:dyDescent="0.25">
      <c r="I36" t="s">
        <v>29</v>
      </c>
      <c r="J36">
        <v>3786792</v>
      </c>
      <c r="K36" t="s">
        <v>27</v>
      </c>
      <c r="L36">
        <v>32941</v>
      </c>
      <c r="M36" t="s">
        <v>14</v>
      </c>
      <c r="N36">
        <v>10614</v>
      </c>
      <c r="O36">
        <v>2137674</v>
      </c>
      <c r="P36" t="s">
        <v>30</v>
      </c>
      <c r="Q36">
        <v>41.1</v>
      </c>
      <c r="R36" s="6">
        <v>43882.887303240743</v>
      </c>
    </row>
    <row r="37" spans="9:20" x14ac:dyDescent="0.25">
      <c r="I37" t="s">
        <v>29</v>
      </c>
      <c r="J37">
        <v>3786792</v>
      </c>
      <c r="K37" t="s">
        <v>27</v>
      </c>
      <c r="L37">
        <v>32941</v>
      </c>
      <c r="M37" t="s">
        <v>14</v>
      </c>
      <c r="N37">
        <v>10614</v>
      </c>
      <c r="O37">
        <v>2137674</v>
      </c>
      <c r="P37" t="s">
        <v>30</v>
      </c>
      <c r="Q37">
        <v>41.5</v>
      </c>
      <c r="R37" s="6">
        <v>43882.887314814812</v>
      </c>
    </row>
    <row r="38" spans="9:20" x14ac:dyDescent="0.25">
      <c r="I38" t="s">
        <v>29</v>
      </c>
      <c r="J38">
        <v>3786792</v>
      </c>
      <c r="K38" t="s">
        <v>27</v>
      </c>
      <c r="L38">
        <v>32941</v>
      </c>
      <c r="M38" t="s">
        <v>14</v>
      </c>
      <c r="N38">
        <v>10614</v>
      </c>
      <c r="O38">
        <v>2137674</v>
      </c>
      <c r="P38" t="s">
        <v>30</v>
      </c>
      <c r="Q38">
        <v>42.2</v>
      </c>
      <c r="R38" s="6">
        <v>43882.887314814812</v>
      </c>
    </row>
    <row r="39" spans="9:20" x14ac:dyDescent="0.25">
      <c r="I39" t="s">
        <v>29</v>
      </c>
      <c r="J39">
        <v>3786792</v>
      </c>
      <c r="K39" t="s">
        <v>27</v>
      </c>
      <c r="L39">
        <v>32941</v>
      </c>
      <c r="M39" t="s">
        <v>14</v>
      </c>
      <c r="N39">
        <v>10614</v>
      </c>
      <c r="O39">
        <v>2137674</v>
      </c>
      <c r="P39" t="s">
        <v>30</v>
      </c>
      <c r="Q39">
        <v>41.3</v>
      </c>
      <c r="R39" s="6">
        <v>43882.887314814812</v>
      </c>
    </row>
    <row r="40" spans="9:20" x14ac:dyDescent="0.25">
      <c r="I40" t="s">
        <v>29</v>
      </c>
      <c r="J40">
        <v>3786792</v>
      </c>
      <c r="K40" t="s">
        <v>27</v>
      </c>
      <c r="L40">
        <v>32941</v>
      </c>
      <c r="M40" t="s">
        <v>14</v>
      </c>
      <c r="N40">
        <v>10614</v>
      </c>
      <c r="O40">
        <v>2137674</v>
      </c>
      <c r="P40" t="s">
        <v>30</v>
      </c>
      <c r="Q40">
        <v>43.4</v>
      </c>
      <c r="R40" s="6">
        <v>43882.887314814812</v>
      </c>
    </row>
    <row r="41" spans="9:20" x14ac:dyDescent="0.25">
      <c r="I41" t="s">
        <v>29</v>
      </c>
      <c r="J41">
        <v>3786792</v>
      </c>
      <c r="K41" t="s">
        <v>27</v>
      </c>
      <c r="L41">
        <v>32941</v>
      </c>
      <c r="M41" t="s">
        <v>14</v>
      </c>
      <c r="N41">
        <v>10614</v>
      </c>
      <c r="O41">
        <v>2137674</v>
      </c>
      <c r="P41" t="s">
        <v>30</v>
      </c>
      <c r="Q41">
        <v>41.4</v>
      </c>
      <c r="R41" s="6">
        <v>43882.887326388889</v>
      </c>
    </row>
    <row r="42" spans="9:20" x14ac:dyDescent="0.25">
      <c r="I42" s="15" t="s">
        <v>29</v>
      </c>
      <c r="J42" s="15">
        <v>3786792</v>
      </c>
      <c r="K42" s="15" t="s">
        <v>27</v>
      </c>
      <c r="L42" s="15">
        <v>32941</v>
      </c>
      <c r="M42" s="15" t="s">
        <v>14</v>
      </c>
      <c r="N42" s="15">
        <v>10614</v>
      </c>
      <c r="O42" s="15">
        <v>2137674</v>
      </c>
      <c r="P42" s="15" t="s">
        <v>30</v>
      </c>
      <c r="Q42" s="15">
        <v>43.4</v>
      </c>
      <c r="R42" s="17">
        <v>43882.887326388889</v>
      </c>
      <c r="S42" s="15">
        <f>SUM(Q36:Q42)</f>
        <v>294.3</v>
      </c>
    </row>
    <row r="43" spans="9:20" x14ac:dyDescent="0.25">
      <c r="I43" s="15" t="s">
        <v>29</v>
      </c>
      <c r="J43" s="15">
        <v>3786552</v>
      </c>
      <c r="K43" s="15" t="s">
        <v>27</v>
      </c>
      <c r="L43" s="15">
        <v>32901</v>
      </c>
      <c r="M43" s="15" t="s">
        <v>14</v>
      </c>
      <c r="N43" s="15">
        <v>10431</v>
      </c>
      <c r="O43" s="15">
        <v>2137674</v>
      </c>
      <c r="P43" s="15" t="s">
        <v>30</v>
      </c>
      <c r="Q43" s="15">
        <v>39.299999999999997</v>
      </c>
      <c r="R43" s="17">
        <v>43882.897314814814</v>
      </c>
      <c r="S43" s="15">
        <v>39.299999999999997</v>
      </c>
    </row>
    <row r="44" spans="9:20" x14ac:dyDescent="0.25">
      <c r="I44" t="s">
        <v>29</v>
      </c>
      <c r="J44">
        <v>3786722</v>
      </c>
      <c r="K44" t="s">
        <v>27</v>
      </c>
      <c r="L44">
        <v>32931</v>
      </c>
      <c r="M44" t="s">
        <v>14</v>
      </c>
      <c r="N44">
        <v>10573</v>
      </c>
      <c r="O44">
        <v>2137674</v>
      </c>
      <c r="P44" t="s">
        <v>30</v>
      </c>
      <c r="Q44">
        <v>37.700000000000003</v>
      </c>
      <c r="R44" s="6">
        <v>43882.94431712963</v>
      </c>
    </row>
    <row r="45" spans="9:20" x14ac:dyDescent="0.25">
      <c r="I45" s="15" t="s">
        <v>29</v>
      </c>
      <c r="J45" s="15">
        <v>3786722</v>
      </c>
      <c r="K45" s="15" t="s">
        <v>27</v>
      </c>
      <c r="L45" s="15">
        <v>32931</v>
      </c>
      <c r="M45" s="15" t="s">
        <v>14</v>
      </c>
      <c r="N45" s="15">
        <v>10573</v>
      </c>
      <c r="O45" s="15">
        <v>2137674</v>
      </c>
      <c r="P45" s="15" t="s">
        <v>30</v>
      </c>
      <c r="Q45" s="15">
        <v>42.6</v>
      </c>
      <c r="R45" s="17">
        <v>43882.94431712963</v>
      </c>
      <c r="S45" s="15">
        <f>SUM(Q44:Q45)</f>
        <v>80.300000000000011</v>
      </c>
    </row>
    <row r="46" spans="9:20" x14ac:dyDescent="0.25">
      <c r="I46" t="s">
        <v>29</v>
      </c>
      <c r="J46">
        <v>3786792</v>
      </c>
      <c r="K46" t="s">
        <v>27</v>
      </c>
      <c r="L46">
        <v>32941</v>
      </c>
      <c r="M46" t="s">
        <v>14</v>
      </c>
      <c r="N46">
        <v>10614</v>
      </c>
      <c r="O46">
        <v>2137674</v>
      </c>
      <c r="P46" t="s">
        <v>30</v>
      </c>
      <c r="Q46">
        <v>39.1</v>
      </c>
      <c r="R46" s="6">
        <v>43882.955046296294</v>
      </c>
    </row>
    <row r="47" spans="9:20" x14ac:dyDescent="0.25">
      <c r="I47" t="s">
        <v>29</v>
      </c>
      <c r="J47">
        <v>3786792</v>
      </c>
      <c r="K47" t="s">
        <v>27</v>
      </c>
      <c r="L47">
        <v>32941</v>
      </c>
      <c r="M47" t="s">
        <v>14</v>
      </c>
      <c r="N47">
        <v>10614</v>
      </c>
      <c r="O47">
        <v>2137674</v>
      </c>
      <c r="P47" t="s">
        <v>30</v>
      </c>
      <c r="Q47">
        <v>39</v>
      </c>
      <c r="R47" s="6">
        <v>43882.955057870371</v>
      </c>
    </row>
    <row r="48" spans="9:20" x14ac:dyDescent="0.25">
      <c r="I48" t="s">
        <v>29</v>
      </c>
      <c r="J48">
        <v>3786792</v>
      </c>
      <c r="K48" t="s">
        <v>27</v>
      </c>
      <c r="L48">
        <v>32941</v>
      </c>
      <c r="M48" t="s">
        <v>14</v>
      </c>
      <c r="N48">
        <v>10614</v>
      </c>
      <c r="O48">
        <v>2137674</v>
      </c>
      <c r="P48" t="s">
        <v>30</v>
      </c>
      <c r="Q48">
        <v>40.6</v>
      </c>
      <c r="R48" s="6">
        <v>43882.955057870371</v>
      </c>
    </row>
    <row r="49" spans="9:19" x14ac:dyDescent="0.25">
      <c r="I49" t="s">
        <v>29</v>
      </c>
      <c r="J49">
        <v>3786792</v>
      </c>
      <c r="K49" t="s">
        <v>27</v>
      </c>
      <c r="L49">
        <v>32941</v>
      </c>
      <c r="M49" t="s">
        <v>14</v>
      </c>
      <c r="N49">
        <v>10614</v>
      </c>
      <c r="O49">
        <v>2137674</v>
      </c>
      <c r="P49" t="s">
        <v>30</v>
      </c>
      <c r="Q49">
        <v>39.299999999999997</v>
      </c>
      <c r="R49" s="6">
        <v>43882.955057870371</v>
      </c>
    </row>
    <row r="50" spans="9:19" x14ac:dyDescent="0.25">
      <c r="I50" s="15" t="s">
        <v>29</v>
      </c>
      <c r="J50" s="15">
        <v>3786792</v>
      </c>
      <c r="K50" s="15" t="s">
        <v>27</v>
      </c>
      <c r="L50" s="15">
        <v>32941</v>
      </c>
      <c r="M50" s="15" t="s">
        <v>14</v>
      </c>
      <c r="N50" s="15">
        <v>10614</v>
      </c>
      <c r="O50" s="15">
        <v>2137674</v>
      </c>
      <c r="P50" s="15" t="s">
        <v>30</v>
      </c>
      <c r="Q50" s="15">
        <v>43</v>
      </c>
      <c r="R50" s="17">
        <v>43882.955069444448</v>
      </c>
      <c r="S50" s="15">
        <f>SUM(Q46:Q50)</f>
        <v>201</v>
      </c>
    </row>
    <row r="51" spans="9:19" x14ac:dyDescent="0.25">
      <c r="I51" t="s">
        <v>29</v>
      </c>
      <c r="J51">
        <v>3786792</v>
      </c>
      <c r="K51" t="s">
        <v>27</v>
      </c>
      <c r="L51">
        <v>32941</v>
      </c>
      <c r="M51" t="s">
        <v>14</v>
      </c>
      <c r="N51">
        <v>10614</v>
      </c>
      <c r="O51">
        <v>2137674</v>
      </c>
      <c r="P51" t="s">
        <v>30</v>
      </c>
      <c r="Q51">
        <v>42.7</v>
      </c>
      <c r="R51" s="6">
        <v>43885.440347222226</v>
      </c>
    </row>
    <row r="52" spans="9:19" x14ac:dyDescent="0.25">
      <c r="I52" t="s">
        <v>29</v>
      </c>
      <c r="J52">
        <v>3786792</v>
      </c>
      <c r="K52" t="s">
        <v>27</v>
      </c>
      <c r="L52">
        <v>32941</v>
      </c>
      <c r="M52" t="s">
        <v>14</v>
      </c>
      <c r="N52">
        <v>10614</v>
      </c>
      <c r="O52">
        <v>2137674</v>
      </c>
      <c r="P52" t="s">
        <v>30</v>
      </c>
      <c r="Q52">
        <v>41.6</v>
      </c>
      <c r="R52" s="6">
        <v>43885.440347222226</v>
      </c>
    </row>
    <row r="53" spans="9:19" x14ac:dyDescent="0.25">
      <c r="I53" t="s">
        <v>29</v>
      </c>
      <c r="J53">
        <v>3786792</v>
      </c>
      <c r="K53" t="s">
        <v>27</v>
      </c>
      <c r="L53">
        <v>32941</v>
      </c>
      <c r="M53" t="s">
        <v>14</v>
      </c>
      <c r="N53">
        <v>10614</v>
      </c>
      <c r="O53">
        <v>2137674</v>
      </c>
      <c r="P53" t="s">
        <v>30</v>
      </c>
      <c r="Q53">
        <v>43.1</v>
      </c>
      <c r="R53" s="6">
        <v>43885.440347222226</v>
      </c>
    </row>
    <row r="54" spans="9:19" x14ac:dyDescent="0.25">
      <c r="I54" t="s">
        <v>29</v>
      </c>
      <c r="J54">
        <v>3786792</v>
      </c>
      <c r="K54" t="s">
        <v>27</v>
      </c>
      <c r="L54">
        <v>32941</v>
      </c>
      <c r="M54" t="s">
        <v>14</v>
      </c>
      <c r="N54">
        <v>10614</v>
      </c>
      <c r="O54">
        <v>2137674</v>
      </c>
      <c r="P54" t="s">
        <v>30</v>
      </c>
      <c r="Q54">
        <v>42.1</v>
      </c>
      <c r="R54" s="6">
        <v>43885.440347222226</v>
      </c>
    </row>
    <row r="55" spans="9:19" x14ac:dyDescent="0.25">
      <c r="I55" s="15" t="s">
        <v>29</v>
      </c>
      <c r="J55" s="15">
        <v>3786792</v>
      </c>
      <c r="K55" s="15" t="s">
        <v>27</v>
      </c>
      <c r="L55" s="15">
        <v>32941</v>
      </c>
      <c r="M55" s="15" t="s">
        <v>14</v>
      </c>
      <c r="N55" s="15">
        <v>10614</v>
      </c>
      <c r="O55" s="15">
        <v>2137674</v>
      </c>
      <c r="P55" s="15" t="s">
        <v>30</v>
      </c>
      <c r="Q55" s="15">
        <v>37.9</v>
      </c>
      <c r="R55" s="17">
        <v>43885.440358796295</v>
      </c>
      <c r="S55" s="15">
        <f>SUM(Q51:Q55)</f>
        <v>207.4</v>
      </c>
    </row>
    <row r="56" spans="9:19" x14ac:dyDescent="0.25">
      <c r="I56" t="s">
        <v>29</v>
      </c>
      <c r="J56">
        <v>3786587</v>
      </c>
      <c r="K56" t="s">
        <v>27</v>
      </c>
      <c r="L56">
        <v>32911</v>
      </c>
      <c r="M56" t="s">
        <v>14</v>
      </c>
      <c r="N56">
        <v>10455</v>
      </c>
      <c r="O56">
        <v>2137674</v>
      </c>
      <c r="P56" t="s">
        <v>30</v>
      </c>
      <c r="Q56">
        <v>38.9</v>
      </c>
      <c r="R56" s="6">
        <v>43885.453344907408</v>
      </c>
    </row>
    <row r="57" spans="9:19" x14ac:dyDescent="0.25">
      <c r="I57" t="s">
        <v>29</v>
      </c>
      <c r="J57">
        <v>3786587</v>
      </c>
      <c r="K57" t="s">
        <v>27</v>
      </c>
      <c r="L57">
        <v>32911</v>
      </c>
      <c r="M57" t="s">
        <v>14</v>
      </c>
      <c r="N57">
        <v>10455</v>
      </c>
      <c r="O57">
        <v>2137674</v>
      </c>
      <c r="P57" t="s">
        <v>30</v>
      </c>
      <c r="Q57">
        <v>41.8</v>
      </c>
      <c r="R57" s="6">
        <v>43885.453344907408</v>
      </c>
    </row>
    <row r="58" spans="9:19" x14ac:dyDescent="0.25">
      <c r="I58" s="15" t="s">
        <v>29</v>
      </c>
      <c r="J58" s="15">
        <v>3786587</v>
      </c>
      <c r="K58" s="15" t="s">
        <v>27</v>
      </c>
      <c r="L58" s="15">
        <v>32911</v>
      </c>
      <c r="M58" s="15" t="s">
        <v>14</v>
      </c>
      <c r="N58" s="15">
        <v>10455</v>
      </c>
      <c r="O58" s="15">
        <v>2137674</v>
      </c>
      <c r="P58" s="15" t="s">
        <v>30</v>
      </c>
      <c r="Q58" s="15">
        <v>40</v>
      </c>
      <c r="R58" s="17">
        <v>43885.453344907408</v>
      </c>
      <c r="S58" s="15">
        <f>SUM(Q56:Q58)</f>
        <v>120.69999999999999</v>
      </c>
    </row>
    <row r="59" spans="9:19" x14ac:dyDescent="0.25">
      <c r="I59" t="s">
        <v>29</v>
      </c>
      <c r="J59">
        <v>3786792</v>
      </c>
      <c r="K59" t="s">
        <v>27</v>
      </c>
      <c r="L59">
        <v>32941</v>
      </c>
      <c r="M59" t="s">
        <v>14</v>
      </c>
      <c r="N59">
        <v>10614</v>
      </c>
      <c r="O59">
        <v>2137674</v>
      </c>
      <c r="P59" t="s">
        <v>30</v>
      </c>
      <c r="Q59">
        <v>41.8</v>
      </c>
      <c r="R59" s="6">
        <v>43885.549039351848</v>
      </c>
    </row>
    <row r="60" spans="9:19" x14ac:dyDescent="0.25">
      <c r="I60" t="s">
        <v>29</v>
      </c>
      <c r="J60">
        <v>3786846</v>
      </c>
      <c r="K60" t="s">
        <v>27</v>
      </c>
      <c r="L60">
        <v>32941</v>
      </c>
      <c r="M60" t="s">
        <v>14</v>
      </c>
      <c r="N60">
        <v>10646</v>
      </c>
      <c r="O60">
        <v>2137674</v>
      </c>
      <c r="P60" t="s">
        <v>30</v>
      </c>
      <c r="Q60">
        <v>42.7</v>
      </c>
      <c r="R60" s="6">
        <v>43885.665173611109</v>
      </c>
    </row>
    <row r="61" spans="9:19" x14ac:dyDescent="0.25">
      <c r="I61" t="s">
        <v>29</v>
      </c>
      <c r="J61">
        <v>3786671</v>
      </c>
      <c r="K61" t="s">
        <v>27</v>
      </c>
      <c r="L61">
        <v>32911</v>
      </c>
      <c r="M61" t="s">
        <v>14</v>
      </c>
      <c r="N61">
        <v>10494</v>
      </c>
      <c r="O61">
        <v>2137674</v>
      </c>
      <c r="P61" t="s">
        <v>30</v>
      </c>
      <c r="Q61">
        <v>40.200000000000003</v>
      </c>
      <c r="R61" s="6">
        <v>43885.686840277776</v>
      </c>
    </row>
    <row r="62" spans="9:19" x14ac:dyDescent="0.25">
      <c r="I62" t="s">
        <v>29</v>
      </c>
      <c r="J62">
        <v>3786846</v>
      </c>
      <c r="K62" t="s">
        <v>27</v>
      </c>
      <c r="L62">
        <v>32941</v>
      </c>
      <c r="M62" t="s">
        <v>14</v>
      </c>
      <c r="N62">
        <v>10646</v>
      </c>
      <c r="O62">
        <v>2137674</v>
      </c>
      <c r="P62" t="s">
        <v>30</v>
      </c>
      <c r="Q62">
        <v>38.799999999999997</v>
      </c>
      <c r="R62" s="6">
        <v>43885.790555555555</v>
      </c>
    </row>
    <row r="63" spans="9:19" x14ac:dyDescent="0.25">
      <c r="I63" t="s">
        <v>29</v>
      </c>
      <c r="J63">
        <v>3786846</v>
      </c>
      <c r="K63" t="s">
        <v>27</v>
      </c>
      <c r="L63">
        <v>32941</v>
      </c>
      <c r="M63" t="s">
        <v>14</v>
      </c>
      <c r="N63">
        <v>10646</v>
      </c>
      <c r="O63">
        <v>2137674</v>
      </c>
      <c r="P63" t="s">
        <v>30</v>
      </c>
      <c r="Q63">
        <v>40.4</v>
      </c>
      <c r="R63" s="6">
        <v>43885.790567129632</v>
      </c>
    </row>
    <row r="64" spans="9:19" x14ac:dyDescent="0.25">
      <c r="I64" t="s">
        <v>29</v>
      </c>
      <c r="J64">
        <v>3786846</v>
      </c>
      <c r="K64" t="s">
        <v>27</v>
      </c>
      <c r="L64">
        <v>32941</v>
      </c>
      <c r="M64" t="s">
        <v>14</v>
      </c>
      <c r="N64">
        <v>10646</v>
      </c>
      <c r="O64">
        <v>2137674</v>
      </c>
      <c r="P64" t="s">
        <v>30</v>
      </c>
      <c r="Q64">
        <v>41.3</v>
      </c>
      <c r="R64" s="6">
        <v>43885.790567129632</v>
      </c>
    </row>
    <row r="65" spans="9:18" x14ac:dyDescent="0.25">
      <c r="I65" t="s">
        <v>29</v>
      </c>
      <c r="J65">
        <v>3786846</v>
      </c>
      <c r="K65" t="s">
        <v>27</v>
      </c>
      <c r="L65">
        <v>32941</v>
      </c>
      <c r="M65" t="s">
        <v>14</v>
      </c>
      <c r="N65">
        <v>10646</v>
      </c>
      <c r="O65">
        <v>2137674</v>
      </c>
      <c r="P65" t="s">
        <v>30</v>
      </c>
      <c r="Q65">
        <v>40</v>
      </c>
      <c r="R65" s="6">
        <v>43885.790567129632</v>
      </c>
    </row>
    <row r="66" spans="9:18" x14ac:dyDescent="0.25">
      <c r="I66" t="s">
        <v>29</v>
      </c>
      <c r="J66">
        <v>3786846</v>
      </c>
      <c r="K66" t="s">
        <v>27</v>
      </c>
      <c r="L66">
        <v>32941</v>
      </c>
      <c r="M66" t="s">
        <v>14</v>
      </c>
      <c r="N66">
        <v>10646</v>
      </c>
      <c r="O66">
        <v>2137674</v>
      </c>
      <c r="P66" t="s">
        <v>30</v>
      </c>
      <c r="Q66">
        <v>42.1</v>
      </c>
      <c r="R66" s="6">
        <v>43885.790567129632</v>
      </c>
    </row>
    <row r="67" spans="9:18" x14ac:dyDescent="0.25">
      <c r="I67" t="s">
        <v>29</v>
      </c>
      <c r="J67">
        <v>3786846</v>
      </c>
      <c r="K67" t="s">
        <v>27</v>
      </c>
      <c r="L67">
        <v>32941</v>
      </c>
      <c r="M67" t="s">
        <v>14</v>
      </c>
      <c r="N67">
        <v>10646</v>
      </c>
      <c r="O67">
        <v>2137674</v>
      </c>
      <c r="P67" t="s">
        <v>30</v>
      </c>
      <c r="Q67">
        <v>39.299999999999997</v>
      </c>
      <c r="R67" s="6">
        <v>43885.790567129632</v>
      </c>
    </row>
    <row r="68" spans="9:18" x14ac:dyDescent="0.25">
      <c r="I68" t="s">
        <v>29</v>
      </c>
      <c r="J68">
        <v>3786846</v>
      </c>
      <c r="K68" t="s">
        <v>27</v>
      </c>
      <c r="L68">
        <v>32941</v>
      </c>
      <c r="M68" t="s">
        <v>14</v>
      </c>
      <c r="N68">
        <v>10646</v>
      </c>
      <c r="O68">
        <v>2137674</v>
      </c>
      <c r="P68" t="s">
        <v>30</v>
      </c>
      <c r="Q68">
        <v>41.9</v>
      </c>
      <c r="R68" s="6">
        <v>43885.790578703702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4"/>
  <sheetViews>
    <sheetView tabSelected="1" workbookViewId="0">
      <selection activeCell="G19" sqref="G19"/>
    </sheetView>
  </sheetViews>
  <sheetFormatPr defaultRowHeight="15" x14ac:dyDescent="0.25"/>
  <cols>
    <col min="5" max="5" width="11.42578125" bestFit="1" customWidth="1"/>
    <col min="12" max="12" width="6" bestFit="1" customWidth="1"/>
    <col min="16" max="16" width="5" bestFit="1" customWidth="1"/>
    <col min="17" max="17" width="14.85546875" bestFit="1" customWidth="1"/>
  </cols>
  <sheetData>
    <row r="2" spans="1:18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39</v>
      </c>
    </row>
    <row r="3" spans="1:18" x14ac:dyDescent="0.25">
      <c r="A3" s="15">
        <v>20200221</v>
      </c>
      <c r="B3" s="15">
        <v>112345</v>
      </c>
      <c r="C3" s="15">
        <v>4369562</v>
      </c>
      <c r="D3" s="15" t="s">
        <v>0</v>
      </c>
      <c r="E3" s="15">
        <v>32941</v>
      </c>
      <c r="F3" s="15" t="s">
        <v>12</v>
      </c>
      <c r="G3" s="15">
        <v>284.10000000000002</v>
      </c>
      <c r="I3" t="s">
        <v>29</v>
      </c>
      <c r="J3">
        <v>3786669</v>
      </c>
      <c r="K3" t="s">
        <v>27</v>
      </c>
      <c r="L3">
        <v>32931</v>
      </c>
      <c r="M3" t="s">
        <v>12</v>
      </c>
      <c r="N3">
        <v>10524</v>
      </c>
      <c r="O3">
        <v>2137674</v>
      </c>
      <c r="P3">
        <v>33.6</v>
      </c>
      <c r="Q3" s="6">
        <v>43881.953321759262</v>
      </c>
    </row>
    <row r="4" spans="1:18" x14ac:dyDescent="0.25">
      <c r="A4" s="15">
        <v>20200221</v>
      </c>
      <c r="B4" s="15">
        <v>120253</v>
      </c>
      <c r="C4" s="15">
        <v>4369634</v>
      </c>
      <c r="D4" s="15" t="s">
        <v>0</v>
      </c>
      <c r="E4" s="15">
        <v>32941</v>
      </c>
      <c r="F4" s="15" t="s">
        <v>12</v>
      </c>
      <c r="G4" s="15">
        <v>256.2</v>
      </c>
      <c r="I4" t="s">
        <v>29</v>
      </c>
      <c r="J4">
        <v>3786669</v>
      </c>
      <c r="K4" t="s">
        <v>27</v>
      </c>
      <c r="L4">
        <v>32931</v>
      </c>
      <c r="M4" t="s">
        <v>12</v>
      </c>
      <c r="N4">
        <v>10524</v>
      </c>
      <c r="O4">
        <v>2137674</v>
      </c>
      <c r="P4">
        <v>31.2</v>
      </c>
      <c r="Q4" s="6">
        <v>43881.953333333331</v>
      </c>
    </row>
    <row r="5" spans="1:18" x14ac:dyDescent="0.25">
      <c r="A5" s="15">
        <v>20200221</v>
      </c>
      <c r="B5" s="15">
        <v>125520</v>
      </c>
      <c r="C5" s="15">
        <v>4369713</v>
      </c>
      <c r="D5" s="15" t="s">
        <v>0</v>
      </c>
      <c r="E5" s="15">
        <v>32941</v>
      </c>
      <c r="F5" s="15" t="s">
        <v>12</v>
      </c>
      <c r="G5" s="15">
        <v>42.7</v>
      </c>
      <c r="I5" t="s">
        <v>29</v>
      </c>
      <c r="J5">
        <v>3786669</v>
      </c>
      <c r="K5" t="s">
        <v>27</v>
      </c>
      <c r="L5">
        <v>32931</v>
      </c>
      <c r="M5" t="s">
        <v>12</v>
      </c>
      <c r="N5">
        <v>10524</v>
      </c>
      <c r="O5">
        <v>2137674</v>
      </c>
      <c r="P5">
        <v>33.1</v>
      </c>
      <c r="Q5" s="6">
        <v>43881.953333333331</v>
      </c>
    </row>
    <row r="6" spans="1:18" x14ac:dyDescent="0.25">
      <c r="A6" s="15">
        <v>20200224</v>
      </c>
      <c r="B6" s="15">
        <v>110630</v>
      </c>
      <c r="C6" s="15">
        <v>4371301</v>
      </c>
      <c r="D6" s="15" t="s">
        <v>0</v>
      </c>
      <c r="E6" s="15">
        <v>32911</v>
      </c>
      <c r="F6" s="15" t="s">
        <v>12</v>
      </c>
      <c r="G6" s="15">
        <v>40.4</v>
      </c>
      <c r="I6" s="15" t="s">
        <v>29</v>
      </c>
      <c r="J6" s="15">
        <v>3786669</v>
      </c>
      <c r="K6" s="15" t="s">
        <v>27</v>
      </c>
      <c r="L6" s="15">
        <v>32931</v>
      </c>
      <c r="M6" s="15" t="s">
        <v>12</v>
      </c>
      <c r="N6" s="15">
        <v>10524</v>
      </c>
      <c r="O6" s="15">
        <v>2137674</v>
      </c>
      <c r="P6" s="15">
        <v>34</v>
      </c>
      <c r="Q6" s="17">
        <v>43881.953333333331</v>
      </c>
      <c r="R6" s="15">
        <f>SUM(P3:P6)</f>
        <v>131.9</v>
      </c>
    </row>
    <row r="7" spans="1:18" x14ac:dyDescent="0.25">
      <c r="A7" s="15">
        <v>20200224</v>
      </c>
      <c r="B7" s="15">
        <v>113220</v>
      </c>
      <c r="C7" s="15">
        <v>4371341</v>
      </c>
      <c r="D7" s="15" t="s">
        <v>0</v>
      </c>
      <c r="E7" s="15">
        <v>32941</v>
      </c>
      <c r="F7" s="15" t="s">
        <v>12</v>
      </c>
      <c r="G7" s="15">
        <v>40.799999999999997</v>
      </c>
      <c r="I7" s="15" t="s">
        <v>29</v>
      </c>
      <c r="J7" s="15">
        <v>3786669</v>
      </c>
      <c r="K7" s="15" t="s">
        <v>27</v>
      </c>
      <c r="L7" s="15">
        <v>32931</v>
      </c>
      <c r="M7" s="15" t="s">
        <v>12</v>
      </c>
      <c r="N7" s="15">
        <v>10524</v>
      </c>
      <c r="O7" s="15">
        <v>2137674</v>
      </c>
      <c r="P7" s="15">
        <v>34</v>
      </c>
      <c r="Q7" s="17">
        <v>43881.99391203704</v>
      </c>
      <c r="R7" s="15">
        <v>34</v>
      </c>
    </row>
    <row r="8" spans="1:18" x14ac:dyDescent="0.25">
      <c r="A8" s="15">
        <v>20200224</v>
      </c>
      <c r="B8" s="15">
        <v>91202</v>
      </c>
      <c r="C8" s="15">
        <v>4371217</v>
      </c>
      <c r="D8" s="15" t="s">
        <v>0</v>
      </c>
      <c r="E8" s="15">
        <v>32911</v>
      </c>
      <c r="F8" s="15" t="s">
        <v>12</v>
      </c>
      <c r="G8" s="15">
        <v>40.200000000000003</v>
      </c>
      <c r="I8" t="s">
        <v>29</v>
      </c>
      <c r="J8">
        <v>3786709</v>
      </c>
      <c r="K8" t="s">
        <v>27</v>
      </c>
      <c r="L8">
        <v>32941</v>
      </c>
      <c r="M8" t="s">
        <v>12</v>
      </c>
      <c r="N8">
        <v>10536</v>
      </c>
      <c r="O8">
        <v>2137674</v>
      </c>
      <c r="P8">
        <v>40.299999999999997</v>
      </c>
      <c r="Q8" s="6">
        <v>43882.474780092591</v>
      </c>
    </row>
    <row r="9" spans="1:18" x14ac:dyDescent="0.25">
      <c r="A9" s="15">
        <v>20200220</v>
      </c>
      <c r="B9" s="15">
        <v>225249</v>
      </c>
      <c r="C9" s="15">
        <v>4368167</v>
      </c>
      <c r="D9" s="15" t="s">
        <v>0</v>
      </c>
      <c r="E9" s="15">
        <v>32931</v>
      </c>
      <c r="F9" s="15" t="s">
        <v>12</v>
      </c>
      <c r="G9" s="15">
        <v>131.9</v>
      </c>
      <c r="I9" t="s">
        <v>29</v>
      </c>
      <c r="J9">
        <v>3786709</v>
      </c>
      <c r="K9" t="s">
        <v>27</v>
      </c>
      <c r="L9">
        <v>32941</v>
      </c>
      <c r="M9" t="s">
        <v>12</v>
      </c>
      <c r="N9">
        <v>10536</v>
      </c>
      <c r="O9">
        <v>2137674</v>
      </c>
      <c r="P9">
        <v>42.4</v>
      </c>
      <c r="Q9" s="6">
        <v>43882.474791666667</v>
      </c>
    </row>
    <row r="10" spans="1:18" x14ac:dyDescent="0.25">
      <c r="A10" s="15">
        <v>20200224</v>
      </c>
      <c r="B10" s="15">
        <v>73402</v>
      </c>
      <c r="C10" s="15">
        <v>4371117</v>
      </c>
      <c r="D10" s="15" t="s">
        <v>0</v>
      </c>
      <c r="E10" s="15">
        <v>32911</v>
      </c>
      <c r="F10" s="15" t="s">
        <v>12</v>
      </c>
      <c r="G10" s="15">
        <v>84.3</v>
      </c>
      <c r="I10" t="s">
        <v>29</v>
      </c>
      <c r="J10">
        <v>3786709</v>
      </c>
      <c r="K10" t="s">
        <v>27</v>
      </c>
      <c r="L10">
        <v>32941</v>
      </c>
      <c r="M10" t="s">
        <v>12</v>
      </c>
      <c r="N10">
        <v>10536</v>
      </c>
      <c r="O10">
        <v>2137674</v>
      </c>
      <c r="P10">
        <v>37.1</v>
      </c>
      <c r="Q10" s="6">
        <v>43882.474791666667</v>
      </c>
    </row>
    <row r="11" spans="1:18" x14ac:dyDescent="0.25">
      <c r="A11" s="15">
        <v>20200224</v>
      </c>
      <c r="B11" s="15">
        <v>110553</v>
      </c>
      <c r="C11" s="15">
        <v>4371300</v>
      </c>
      <c r="D11" s="15" t="s">
        <v>0</v>
      </c>
      <c r="E11" s="15">
        <v>32911</v>
      </c>
      <c r="F11" s="15" t="s">
        <v>12</v>
      </c>
      <c r="G11" s="15">
        <v>248.7</v>
      </c>
      <c r="I11" t="s">
        <v>29</v>
      </c>
      <c r="J11">
        <v>3786709</v>
      </c>
      <c r="K11" t="s">
        <v>27</v>
      </c>
      <c r="L11">
        <v>32941</v>
      </c>
      <c r="M11" t="s">
        <v>12</v>
      </c>
      <c r="N11">
        <v>10536</v>
      </c>
      <c r="O11">
        <v>2137674</v>
      </c>
      <c r="P11">
        <v>38.700000000000003</v>
      </c>
      <c r="Q11" s="6">
        <v>43882.474803240744</v>
      </c>
    </row>
    <row r="12" spans="1:18" x14ac:dyDescent="0.25">
      <c r="A12" s="15">
        <v>20200220</v>
      </c>
      <c r="B12" s="15">
        <v>235115</v>
      </c>
      <c r="C12" s="15">
        <v>4368253</v>
      </c>
      <c r="D12" s="15" t="s">
        <v>0</v>
      </c>
      <c r="E12" s="15">
        <v>32931</v>
      </c>
      <c r="F12" s="15" t="s">
        <v>12</v>
      </c>
      <c r="G12" s="15">
        <v>34</v>
      </c>
      <c r="I12" t="s">
        <v>29</v>
      </c>
      <c r="J12">
        <v>3786709</v>
      </c>
      <c r="K12" t="s">
        <v>27</v>
      </c>
      <c r="L12">
        <v>32941</v>
      </c>
      <c r="M12" t="s">
        <v>12</v>
      </c>
      <c r="N12">
        <v>10536</v>
      </c>
      <c r="O12">
        <v>2137674</v>
      </c>
      <c r="P12">
        <v>40.1</v>
      </c>
      <c r="Q12" s="6">
        <v>43882.474803240744</v>
      </c>
    </row>
    <row r="13" spans="1:18" x14ac:dyDescent="0.25">
      <c r="A13" s="15">
        <v>20200221</v>
      </c>
      <c r="B13" s="15">
        <v>231042</v>
      </c>
      <c r="C13" s="15">
        <v>4370291</v>
      </c>
      <c r="D13" s="15" t="s">
        <v>0</v>
      </c>
      <c r="E13" s="15">
        <v>32941</v>
      </c>
      <c r="F13" s="15" t="s">
        <v>12</v>
      </c>
      <c r="G13" s="15">
        <v>346.4</v>
      </c>
      <c r="I13" t="s">
        <v>29</v>
      </c>
      <c r="J13">
        <v>3786709</v>
      </c>
      <c r="K13" t="s">
        <v>27</v>
      </c>
      <c r="L13">
        <v>32941</v>
      </c>
      <c r="M13" t="s">
        <v>12</v>
      </c>
      <c r="N13">
        <v>10536</v>
      </c>
      <c r="O13">
        <v>2137674</v>
      </c>
      <c r="P13">
        <v>44.5</v>
      </c>
      <c r="Q13" s="6">
        <v>43882.474814814814</v>
      </c>
    </row>
    <row r="14" spans="1:18" x14ac:dyDescent="0.25">
      <c r="A14" s="15">
        <v>20200222</v>
      </c>
      <c r="B14" s="15">
        <v>1410</v>
      </c>
      <c r="C14" s="15">
        <v>4370395</v>
      </c>
      <c r="D14" s="15" t="s">
        <v>0</v>
      </c>
      <c r="E14" s="15">
        <v>32941</v>
      </c>
      <c r="F14" s="15" t="s">
        <v>12</v>
      </c>
      <c r="G14" s="15">
        <v>39.4</v>
      </c>
      <c r="I14" s="15" t="s">
        <v>29</v>
      </c>
      <c r="J14" s="15">
        <v>3786709</v>
      </c>
      <c r="K14" s="15" t="s">
        <v>27</v>
      </c>
      <c r="L14" s="15">
        <v>32941</v>
      </c>
      <c r="M14" s="15" t="s">
        <v>12</v>
      </c>
      <c r="N14" s="15">
        <v>10536</v>
      </c>
      <c r="O14" s="15">
        <v>2137674</v>
      </c>
      <c r="P14" s="15">
        <v>41</v>
      </c>
      <c r="Q14" s="17">
        <v>43882.474814814814</v>
      </c>
      <c r="R14" s="15">
        <f>SUM(P8:P14)</f>
        <v>284.10000000000002</v>
      </c>
    </row>
    <row r="15" spans="1:18" x14ac:dyDescent="0.25">
      <c r="A15" s="15">
        <v>20200221</v>
      </c>
      <c r="B15" s="15">
        <v>125406</v>
      </c>
      <c r="C15" s="15">
        <v>4369710</v>
      </c>
      <c r="D15" s="15" t="s">
        <v>0</v>
      </c>
      <c r="E15" s="15">
        <v>32941</v>
      </c>
      <c r="F15" s="15" t="s">
        <v>12</v>
      </c>
      <c r="G15" s="15">
        <v>42.7</v>
      </c>
      <c r="I15" t="s">
        <v>29</v>
      </c>
      <c r="J15">
        <v>3786709</v>
      </c>
      <c r="K15" t="s">
        <v>27</v>
      </c>
      <c r="L15">
        <v>32941</v>
      </c>
      <c r="M15" t="s">
        <v>12</v>
      </c>
      <c r="N15">
        <v>10536</v>
      </c>
      <c r="O15">
        <v>2137674</v>
      </c>
      <c r="P15">
        <v>45.1</v>
      </c>
      <c r="Q15" s="6">
        <v>43882.501967592594</v>
      </c>
    </row>
    <row r="16" spans="1:18" x14ac:dyDescent="0.25">
      <c r="A16" s="15">
        <v>20200221</v>
      </c>
      <c r="B16" s="15">
        <v>214731</v>
      </c>
      <c r="C16" s="15">
        <v>4370256</v>
      </c>
      <c r="D16" s="15" t="s">
        <v>0</v>
      </c>
      <c r="E16" s="15">
        <v>32941</v>
      </c>
      <c r="F16" s="15" t="s">
        <v>12</v>
      </c>
      <c r="G16" s="15">
        <v>246.3</v>
      </c>
      <c r="I16" t="s">
        <v>29</v>
      </c>
      <c r="J16">
        <v>3786709</v>
      </c>
      <c r="K16" t="s">
        <v>27</v>
      </c>
      <c r="L16">
        <v>32941</v>
      </c>
      <c r="M16" t="s">
        <v>12</v>
      </c>
      <c r="N16">
        <v>10536</v>
      </c>
      <c r="O16">
        <v>2137674</v>
      </c>
      <c r="P16">
        <v>45.4</v>
      </c>
      <c r="Q16" s="6">
        <v>43882.501979166664</v>
      </c>
    </row>
    <row r="17" spans="9:18" x14ac:dyDescent="0.25">
      <c r="I17" t="s">
        <v>29</v>
      </c>
      <c r="J17">
        <v>3786709</v>
      </c>
      <c r="K17" t="s">
        <v>27</v>
      </c>
      <c r="L17">
        <v>32941</v>
      </c>
      <c r="M17" t="s">
        <v>12</v>
      </c>
      <c r="N17">
        <v>10536</v>
      </c>
      <c r="O17">
        <v>2137674</v>
      </c>
      <c r="P17">
        <v>40.299999999999997</v>
      </c>
      <c r="Q17" s="6">
        <v>43882.501979166664</v>
      </c>
    </row>
    <row r="18" spans="9:18" x14ac:dyDescent="0.25">
      <c r="I18" t="s">
        <v>29</v>
      </c>
      <c r="J18">
        <v>3786709</v>
      </c>
      <c r="K18" t="s">
        <v>27</v>
      </c>
      <c r="L18">
        <v>32941</v>
      </c>
      <c r="M18" t="s">
        <v>12</v>
      </c>
      <c r="N18">
        <v>10536</v>
      </c>
      <c r="O18">
        <v>2137674</v>
      </c>
      <c r="P18">
        <v>40.9</v>
      </c>
      <c r="Q18" s="6">
        <v>43882.501979166664</v>
      </c>
    </row>
    <row r="19" spans="9:18" x14ac:dyDescent="0.25">
      <c r="I19" t="s">
        <v>29</v>
      </c>
      <c r="J19">
        <v>3786709</v>
      </c>
      <c r="K19" t="s">
        <v>27</v>
      </c>
      <c r="L19">
        <v>32941</v>
      </c>
      <c r="M19" t="s">
        <v>12</v>
      </c>
      <c r="N19">
        <v>10536</v>
      </c>
      <c r="O19">
        <v>2137674</v>
      </c>
      <c r="P19">
        <v>43.9</v>
      </c>
      <c r="Q19" s="6">
        <v>43882.50199074074</v>
      </c>
    </row>
    <row r="20" spans="9:18" x14ac:dyDescent="0.25">
      <c r="I20" s="15" t="s">
        <v>29</v>
      </c>
      <c r="J20" s="15">
        <v>3786709</v>
      </c>
      <c r="K20" s="15" t="s">
        <v>27</v>
      </c>
      <c r="L20" s="15">
        <v>32941</v>
      </c>
      <c r="M20" s="15" t="s">
        <v>12</v>
      </c>
      <c r="N20" s="15">
        <v>10536</v>
      </c>
      <c r="O20" s="15">
        <v>2137674</v>
      </c>
      <c r="P20" s="15">
        <v>40.6</v>
      </c>
      <c r="Q20" s="17">
        <v>43882.50199074074</v>
      </c>
      <c r="R20" s="15">
        <f>SUM(P15:P20)</f>
        <v>256.20000000000005</v>
      </c>
    </row>
    <row r="21" spans="9:18" x14ac:dyDescent="0.25">
      <c r="I21" s="15" t="s">
        <v>29</v>
      </c>
      <c r="J21" s="15">
        <v>3786709</v>
      </c>
      <c r="K21" s="15" t="s">
        <v>27</v>
      </c>
      <c r="L21" s="15">
        <v>32941</v>
      </c>
      <c r="M21" s="15" t="s">
        <v>12</v>
      </c>
      <c r="N21" s="15">
        <v>10536</v>
      </c>
      <c r="O21" s="15">
        <v>2137674</v>
      </c>
      <c r="P21" s="15">
        <v>42.7</v>
      </c>
      <c r="Q21" s="17">
        <v>43882.537557870368</v>
      </c>
      <c r="R21" s="15">
        <v>42.7</v>
      </c>
    </row>
    <row r="22" spans="9:18" x14ac:dyDescent="0.25">
      <c r="I22" s="15" t="s">
        <v>29</v>
      </c>
      <c r="J22" s="15">
        <v>3786719</v>
      </c>
      <c r="K22" s="15" t="s">
        <v>27</v>
      </c>
      <c r="L22" s="15">
        <v>32941</v>
      </c>
      <c r="M22" s="15" t="s">
        <v>12</v>
      </c>
      <c r="N22" s="15">
        <v>10574</v>
      </c>
      <c r="O22" s="15">
        <v>2137674</v>
      </c>
      <c r="P22" s="15">
        <v>42.7</v>
      </c>
      <c r="Q22" s="17">
        <v>43882.538414351853</v>
      </c>
      <c r="R22" s="15">
        <v>42.7</v>
      </c>
    </row>
    <row r="23" spans="9:18" x14ac:dyDescent="0.25">
      <c r="I23" t="s">
        <v>29</v>
      </c>
      <c r="J23">
        <v>3786719</v>
      </c>
      <c r="K23" t="s">
        <v>27</v>
      </c>
      <c r="L23">
        <v>32941</v>
      </c>
      <c r="M23" t="s">
        <v>12</v>
      </c>
      <c r="N23">
        <v>10574</v>
      </c>
      <c r="O23">
        <v>2137674</v>
      </c>
      <c r="P23">
        <v>42.8</v>
      </c>
      <c r="Q23" s="6">
        <v>43882.90797453704</v>
      </c>
    </row>
    <row r="24" spans="9:18" x14ac:dyDescent="0.25">
      <c r="I24" t="s">
        <v>29</v>
      </c>
      <c r="J24">
        <v>3786719</v>
      </c>
      <c r="K24" t="s">
        <v>27</v>
      </c>
      <c r="L24">
        <v>32941</v>
      </c>
      <c r="M24" t="s">
        <v>12</v>
      </c>
      <c r="N24">
        <v>10574</v>
      </c>
      <c r="O24">
        <v>2137674</v>
      </c>
      <c r="P24">
        <v>37.299999999999997</v>
      </c>
      <c r="Q24" s="6">
        <v>43882.90797453704</v>
      </c>
    </row>
    <row r="25" spans="9:18" x14ac:dyDescent="0.25">
      <c r="I25" t="s">
        <v>29</v>
      </c>
      <c r="J25">
        <v>3786719</v>
      </c>
      <c r="K25" t="s">
        <v>27</v>
      </c>
      <c r="L25">
        <v>32941</v>
      </c>
      <c r="M25" t="s">
        <v>12</v>
      </c>
      <c r="N25">
        <v>10574</v>
      </c>
      <c r="O25">
        <v>2137674</v>
      </c>
      <c r="P25">
        <v>43.6</v>
      </c>
      <c r="Q25" s="6">
        <v>43882.90797453704</v>
      </c>
    </row>
    <row r="26" spans="9:18" x14ac:dyDescent="0.25">
      <c r="I26" t="s">
        <v>29</v>
      </c>
      <c r="J26">
        <v>3786719</v>
      </c>
      <c r="K26" t="s">
        <v>27</v>
      </c>
      <c r="L26">
        <v>32941</v>
      </c>
      <c r="M26" t="s">
        <v>12</v>
      </c>
      <c r="N26">
        <v>10574</v>
      </c>
      <c r="O26">
        <v>2137674</v>
      </c>
      <c r="P26">
        <v>42.8</v>
      </c>
      <c r="Q26" s="6">
        <v>43882.907986111109</v>
      </c>
    </row>
    <row r="27" spans="9:18" x14ac:dyDescent="0.25">
      <c r="I27" t="s">
        <v>29</v>
      </c>
      <c r="J27">
        <v>3786719</v>
      </c>
      <c r="K27" t="s">
        <v>27</v>
      </c>
      <c r="L27">
        <v>32941</v>
      </c>
      <c r="M27" t="s">
        <v>12</v>
      </c>
      <c r="N27">
        <v>10574</v>
      </c>
      <c r="O27">
        <v>2137674</v>
      </c>
      <c r="P27">
        <v>40.9</v>
      </c>
      <c r="Q27" s="6">
        <v>43882.907986111109</v>
      </c>
    </row>
    <row r="28" spans="9:18" x14ac:dyDescent="0.25">
      <c r="I28" s="15" t="s">
        <v>29</v>
      </c>
      <c r="J28" s="15">
        <v>3786719</v>
      </c>
      <c r="K28" s="15" t="s">
        <v>27</v>
      </c>
      <c r="L28" s="15">
        <v>32941</v>
      </c>
      <c r="M28" s="15" t="s">
        <v>12</v>
      </c>
      <c r="N28" s="15">
        <v>10574</v>
      </c>
      <c r="O28" s="15">
        <v>2137674</v>
      </c>
      <c r="P28" s="15">
        <v>38.9</v>
      </c>
      <c r="Q28" s="17">
        <v>43882.907997685186</v>
      </c>
      <c r="R28" s="15">
        <f>SUM(P23:P28)</f>
        <v>246.3</v>
      </c>
    </row>
    <row r="29" spans="9:18" x14ac:dyDescent="0.25">
      <c r="I29" t="s">
        <v>29</v>
      </c>
      <c r="J29">
        <v>3786803</v>
      </c>
      <c r="K29" t="s">
        <v>27</v>
      </c>
      <c r="L29">
        <v>32941</v>
      </c>
      <c r="M29" t="s">
        <v>12</v>
      </c>
      <c r="N29">
        <v>10615</v>
      </c>
      <c r="O29">
        <v>2137674</v>
      </c>
      <c r="P29">
        <v>45.6</v>
      </c>
      <c r="Q29" s="6">
        <v>43882.965729166666</v>
      </c>
    </row>
    <row r="30" spans="9:18" x14ac:dyDescent="0.25">
      <c r="I30" t="s">
        <v>29</v>
      </c>
      <c r="J30">
        <v>3786803</v>
      </c>
      <c r="K30" t="s">
        <v>27</v>
      </c>
      <c r="L30">
        <v>32941</v>
      </c>
      <c r="M30" t="s">
        <v>12</v>
      </c>
      <c r="N30">
        <v>10615</v>
      </c>
      <c r="O30">
        <v>2137674</v>
      </c>
      <c r="P30">
        <v>41</v>
      </c>
      <c r="Q30" s="6">
        <v>43882.965729166666</v>
      </c>
    </row>
    <row r="31" spans="9:18" x14ac:dyDescent="0.25">
      <c r="I31" t="s">
        <v>29</v>
      </c>
      <c r="J31">
        <v>3786803</v>
      </c>
      <c r="K31" t="s">
        <v>27</v>
      </c>
      <c r="L31">
        <v>32941</v>
      </c>
      <c r="M31" t="s">
        <v>12</v>
      </c>
      <c r="N31">
        <v>10615</v>
      </c>
      <c r="O31">
        <v>2137674</v>
      </c>
      <c r="P31">
        <v>43.3</v>
      </c>
      <c r="Q31" s="6">
        <v>43882.965740740743</v>
      </c>
    </row>
    <row r="32" spans="9:18" x14ac:dyDescent="0.25">
      <c r="I32" t="s">
        <v>29</v>
      </c>
      <c r="J32">
        <v>3786803</v>
      </c>
      <c r="K32" t="s">
        <v>27</v>
      </c>
      <c r="L32">
        <v>32941</v>
      </c>
      <c r="M32" t="s">
        <v>12</v>
      </c>
      <c r="N32">
        <v>10615</v>
      </c>
      <c r="O32">
        <v>2137674</v>
      </c>
      <c r="P32">
        <v>43.3</v>
      </c>
      <c r="Q32" s="6">
        <v>43882.965740740743</v>
      </c>
    </row>
    <row r="33" spans="9:18" x14ac:dyDescent="0.25">
      <c r="I33" t="s">
        <v>29</v>
      </c>
      <c r="J33">
        <v>3786803</v>
      </c>
      <c r="K33" t="s">
        <v>27</v>
      </c>
      <c r="L33">
        <v>32941</v>
      </c>
      <c r="M33" t="s">
        <v>12</v>
      </c>
      <c r="N33">
        <v>10615</v>
      </c>
      <c r="O33">
        <v>2137674</v>
      </c>
      <c r="P33">
        <v>44.2</v>
      </c>
      <c r="Q33" s="6">
        <v>43882.965740740743</v>
      </c>
    </row>
    <row r="34" spans="9:18" x14ac:dyDescent="0.25">
      <c r="I34" t="s">
        <v>29</v>
      </c>
      <c r="J34">
        <v>3786803</v>
      </c>
      <c r="K34" t="s">
        <v>27</v>
      </c>
      <c r="L34">
        <v>32941</v>
      </c>
      <c r="M34" t="s">
        <v>12</v>
      </c>
      <c r="N34">
        <v>10615</v>
      </c>
      <c r="O34">
        <v>2137674</v>
      </c>
      <c r="P34">
        <v>43</v>
      </c>
      <c r="Q34" s="6">
        <v>43882.965740740743</v>
      </c>
    </row>
    <row r="35" spans="9:18" x14ac:dyDescent="0.25">
      <c r="I35" t="s">
        <v>29</v>
      </c>
      <c r="J35">
        <v>3786803</v>
      </c>
      <c r="K35" t="s">
        <v>27</v>
      </c>
      <c r="L35">
        <v>32941</v>
      </c>
      <c r="M35" t="s">
        <v>12</v>
      </c>
      <c r="N35">
        <v>10615</v>
      </c>
      <c r="O35">
        <v>2137674</v>
      </c>
      <c r="P35">
        <v>42.3</v>
      </c>
      <c r="Q35" s="6">
        <v>43882.965752314813</v>
      </c>
    </row>
    <row r="36" spans="9:18" x14ac:dyDescent="0.25">
      <c r="I36" s="15" t="s">
        <v>29</v>
      </c>
      <c r="J36" s="15">
        <v>3786803</v>
      </c>
      <c r="K36" s="15" t="s">
        <v>27</v>
      </c>
      <c r="L36" s="15">
        <v>32941</v>
      </c>
      <c r="M36" s="15" t="s">
        <v>12</v>
      </c>
      <c r="N36" s="15">
        <v>10615</v>
      </c>
      <c r="O36" s="15">
        <v>2137674</v>
      </c>
      <c r="P36" s="15">
        <v>43.7</v>
      </c>
      <c r="Q36" s="17">
        <v>43882.965752314813</v>
      </c>
      <c r="R36" s="15">
        <f>SUM(P29:P36)</f>
        <v>346.4</v>
      </c>
    </row>
    <row r="37" spans="9:18" x14ac:dyDescent="0.25">
      <c r="I37" s="15" t="s">
        <v>29</v>
      </c>
      <c r="J37" s="15">
        <v>3786719</v>
      </c>
      <c r="K37" s="15" t="s">
        <v>27</v>
      </c>
      <c r="L37" s="15">
        <v>32941</v>
      </c>
      <c r="M37" s="15" t="s">
        <v>12</v>
      </c>
      <c r="N37" s="15">
        <v>10574</v>
      </c>
      <c r="O37" s="15">
        <v>2137674</v>
      </c>
      <c r="P37" s="15">
        <v>39.4</v>
      </c>
      <c r="Q37" s="17">
        <v>43883.009837962964</v>
      </c>
      <c r="R37" s="15">
        <v>39.4</v>
      </c>
    </row>
    <row r="38" spans="9:18" x14ac:dyDescent="0.25">
      <c r="I38" t="s">
        <v>29</v>
      </c>
      <c r="J38">
        <v>3786643</v>
      </c>
      <c r="K38" t="s">
        <v>27</v>
      </c>
      <c r="L38">
        <v>32911</v>
      </c>
      <c r="M38" t="s">
        <v>12</v>
      </c>
      <c r="N38">
        <v>10495</v>
      </c>
      <c r="O38">
        <v>2137674</v>
      </c>
      <c r="P38">
        <v>43.7</v>
      </c>
      <c r="Q38" s="6">
        <v>43885.315300925926</v>
      </c>
    </row>
    <row r="39" spans="9:18" x14ac:dyDescent="0.25">
      <c r="I39" s="15" t="s">
        <v>29</v>
      </c>
      <c r="J39" s="15">
        <v>3786643</v>
      </c>
      <c r="K39" s="15" t="s">
        <v>27</v>
      </c>
      <c r="L39" s="15">
        <v>32911</v>
      </c>
      <c r="M39" s="15" t="s">
        <v>12</v>
      </c>
      <c r="N39" s="15">
        <v>10495</v>
      </c>
      <c r="O39" s="15">
        <v>2137674</v>
      </c>
      <c r="P39" s="15">
        <v>40.6</v>
      </c>
      <c r="Q39" s="17">
        <v>43885.315300925926</v>
      </c>
      <c r="R39" s="15">
        <f>SUM(P38:P39)</f>
        <v>84.300000000000011</v>
      </c>
    </row>
    <row r="40" spans="9:18" x14ac:dyDescent="0.25">
      <c r="I40" s="15" t="s">
        <v>29</v>
      </c>
      <c r="J40" s="15">
        <v>3786643</v>
      </c>
      <c r="K40" s="15" t="s">
        <v>27</v>
      </c>
      <c r="L40" s="15">
        <v>32911</v>
      </c>
      <c r="M40" s="15" t="s">
        <v>12</v>
      </c>
      <c r="N40" s="15">
        <v>10495</v>
      </c>
      <c r="O40" s="15">
        <v>2137674</v>
      </c>
      <c r="P40" s="15">
        <v>40.200000000000003</v>
      </c>
      <c r="Q40" s="17">
        <v>43885.383356481485</v>
      </c>
      <c r="R40" s="15">
        <v>40.200000000000003</v>
      </c>
    </row>
    <row r="41" spans="9:18" x14ac:dyDescent="0.25">
      <c r="I41" t="s">
        <v>29</v>
      </c>
      <c r="J41">
        <v>3786643</v>
      </c>
      <c r="K41" t="s">
        <v>27</v>
      </c>
      <c r="L41">
        <v>32911</v>
      </c>
      <c r="M41" t="s">
        <v>12</v>
      </c>
      <c r="N41">
        <v>10495</v>
      </c>
      <c r="O41">
        <v>2137674</v>
      </c>
      <c r="P41">
        <v>41.1</v>
      </c>
      <c r="Q41" s="6">
        <v>43885.462395833332</v>
      </c>
    </row>
    <row r="42" spans="9:18" x14ac:dyDescent="0.25">
      <c r="I42" t="s">
        <v>29</v>
      </c>
      <c r="J42">
        <v>3786643</v>
      </c>
      <c r="K42" t="s">
        <v>27</v>
      </c>
      <c r="L42">
        <v>32911</v>
      </c>
      <c r="M42" t="s">
        <v>12</v>
      </c>
      <c r="N42">
        <v>10495</v>
      </c>
      <c r="O42">
        <v>2137674</v>
      </c>
      <c r="P42">
        <v>44.4</v>
      </c>
      <c r="Q42" s="6">
        <v>43885.462407407409</v>
      </c>
    </row>
    <row r="43" spans="9:18" x14ac:dyDescent="0.25">
      <c r="I43" t="s">
        <v>29</v>
      </c>
      <c r="J43">
        <v>3786643</v>
      </c>
      <c r="K43" t="s">
        <v>27</v>
      </c>
      <c r="L43">
        <v>32911</v>
      </c>
      <c r="M43" t="s">
        <v>12</v>
      </c>
      <c r="N43">
        <v>10495</v>
      </c>
      <c r="O43">
        <v>2137674</v>
      </c>
      <c r="P43">
        <v>42.1</v>
      </c>
      <c r="Q43" s="6">
        <v>43885.462407407409</v>
      </c>
    </row>
    <row r="44" spans="9:18" x14ac:dyDescent="0.25">
      <c r="I44" t="s">
        <v>29</v>
      </c>
      <c r="J44">
        <v>3786643</v>
      </c>
      <c r="K44" t="s">
        <v>27</v>
      </c>
      <c r="L44">
        <v>32911</v>
      </c>
      <c r="M44" t="s">
        <v>12</v>
      </c>
      <c r="N44">
        <v>10495</v>
      </c>
      <c r="O44">
        <v>2137674</v>
      </c>
      <c r="P44">
        <v>40.9</v>
      </c>
      <c r="Q44" s="6">
        <v>43885.462407407409</v>
      </c>
    </row>
    <row r="45" spans="9:18" x14ac:dyDescent="0.25">
      <c r="I45" t="s">
        <v>29</v>
      </c>
      <c r="J45">
        <v>3786643</v>
      </c>
      <c r="K45" t="s">
        <v>27</v>
      </c>
      <c r="L45">
        <v>32911</v>
      </c>
      <c r="M45" t="s">
        <v>12</v>
      </c>
      <c r="N45">
        <v>10495</v>
      </c>
      <c r="O45">
        <v>2137674</v>
      </c>
      <c r="P45">
        <v>40</v>
      </c>
      <c r="Q45">
        <v>43885.462407407409</v>
      </c>
    </row>
    <row r="46" spans="9:18" x14ac:dyDescent="0.25">
      <c r="I46" s="15" t="s">
        <v>29</v>
      </c>
      <c r="J46" s="15">
        <v>3786643</v>
      </c>
      <c r="K46" s="15" t="s">
        <v>27</v>
      </c>
      <c r="L46" s="15">
        <v>32911</v>
      </c>
      <c r="M46" s="15" t="s">
        <v>12</v>
      </c>
      <c r="N46" s="15">
        <v>10495</v>
      </c>
      <c r="O46" s="15">
        <v>2137674</v>
      </c>
      <c r="P46" s="15">
        <v>40.200000000000003</v>
      </c>
      <c r="Q46" s="17">
        <v>43885.462418981479</v>
      </c>
      <c r="R46" s="15">
        <f>SUM(P40:P45)</f>
        <v>248.70000000000002</v>
      </c>
    </row>
    <row r="47" spans="9:18" x14ac:dyDescent="0.25">
      <c r="I47" s="15" t="s">
        <v>29</v>
      </c>
      <c r="J47" s="15">
        <v>3786643</v>
      </c>
      <c r="K47" s="15" t="s">
        <v>27</v>
      </c>
      <c r="L47" s="15">
        <v>32911</v>
      </c>
      <c r="M47" s="15" t="s">
        <v>12</v>
      </c>
      <c r="N47" s="15">
        <v>10495</v>
      </c>
      <c r="O47" s="15">
        <v>2137674</v>
      </c>
      <c r="P47" s="15">
        <v>40.4</v>
      </c>
      <c r="Q47" s="17">
        <v>43885.462835648148</v>
      </c>
      <c r="R47" s="15">
        <v>40.4</v>
      </c>
    </row>
    <row r="48" spans="9:18" x14ac:dyDescent="0.25">
      <c r="I48" s="15" t="s">
        <v>29</v>
      </c>
      <c r="J48" s="15">
        <v>3786803</v>
      </c>
      <c r="K48" s="15" t="s">
        <v>27</v>
      </c>
      <c r="L48" s="15">
        <v>32941</v>
      </c>
      <c r="M48" s="15" t="s">
        <v>12</v>
      </c>
      <c r="N48" s="15">
        <v>10615</v>
      </c>
      <c r="O48" s="15">
        <v>2137674</v>
      </c>
      <c r="P48" s="15">
        <v>40.799999999999997</v>
      </c>
      <c r="Q48" s="15">
        <v>43885.480787036999</v>
      </c>
      <c r="R48" s="15">
        <v>40.799999999999997</v>
      </c>
    </row>
    <row r="49" spans="9:17" x14ac:dyDescent="0.25">
      <c r="I49" t="s">
        <v>29</v>
      </c>
      <c r="J49">
        <v>3786643</v>
      </c>
      <c r="K49" t="s">
        <v>27</v>
      </c>
      <c r="L49">
        <v>32911</v>
      </c>
      <c r="M49" t="s">
        <v>12</v>
      </c>
      <c r="N49">
        <v>10495</v>
      </c>
      <c r="O49">
        <v>2137674</v>
      </c>
      <c r="P49">
        <v>40.4</v>
      </c>
      <c r="Q49">
        <v>43885.496990740743</v>
      </c>
    </row>
    <row r="50" spans="9:17" x14ac:dyDescent="0.25">
      <c r="I50" t="s">
        <v>29</v>
      </c>
      <c r="J50">
        <v>3786643</v>
      </c>
      <c r="K50" t="s">
        <v>27</v>
      </c>
      <c r="L50">
        <v>32911</v>
      </c>
      <c r="M50" t="s">
        <v>12</v>
      </c>
      <c r="N50">
        <v>10495</v>
      </c>
      <c r="O50">
        <v>2137674</v>
      </c>
      <c r="P50">
        <v>43.2</v>
      </c>
      <c r="Q50" s="6">
        <v>43885.496990740743</v>
      </c>
    </row>
    <row r="51" spans="9:17" x14ac:dyDescent="0.25">
      <c r="I51" t="s">
        <v>29</v>
      </c>
      <c r="J51">
        <v>3786643</v>
      </c>
      <c r="K51" t="s">
        <v>27</v>
      </c>
      <c r="L51">
        <v>32911</v>
      </c>
      <c r="M51" t="s">
        <v>12</v>
      </c>
      <c r="N51">
        <v>10495</v>
      </c>
      <c r="O51">
        <v>2137674</v>
      </c>
      <c r="P51">
        <v>43.7</v>
      </c>
      <c r="Q51" s="6">
        <v>43885.496990740743</v>
      </c>
    </row>
    <row r="52" spans="9:17" x14ac:dyDescent="0.25">
      <c r="I52" t="s">
        <v>29</v>
      </c>
      <c r="J52">
        <v>3786643</v>
      </c>
      <c r="K52" t="s">
        <v>27</v>
      </c>
      <c r="L52">
        <v>32911</v>
      </c>
      <c r="M52" t="s">
        <v>12</v>
      </c>
      <c r="N52">
        <v>10495</v>
      </c>
      <c r="O52">
        <v>2137674</v>
      </c>
      <c r="P52">
        <v>40.200000000000003</v>
      </c>
      <c r="Q52" s="6">
        <v>43885.497002314813</v>
      </c>
    </row>
    <row r="53" spans="9:17" x14ac:dyDescent="0.25">
      <c r="I53" t="s">
        <v>29</v>
      </c>
      <c r="J53">
        <v>3786643</v>
      </c>
      <c r="K53" t="s">
        <v>27</v>
      </c>
      <c r="L53">
        <v>32911</v>
      </c>
      <c r="M53" t="s">
        <v>12</v>
      </c>
      <c r="N53">
        <v>10495</v>
      </c>
      <c r="O53">
        <v>2137674</v>
      </c>
      <c r="P53">
        <v>40.299999999999997</v>
      </c>
      <c r="Q53" s="6">
        <v>43885.497002314813</v>
      </c>
    </row>
    <row r="54" spans="9:17" x14ac:dyDescent="0.25">
      <c r="I54" t="s">
        <v>29</v>
      </c>
      <c r="J54">
        <v>3786643</v>
      </c>
      <c r="K54" t="s">
        <v>27</v>
      </c>
      <c r="L54">
        <v>32911</v>
      </c>
      <c r="M54" t="s">
        <v>12</v>
      </c>
      <c r="N54">
        <v>10495</v>
      </c>
      <c r="O54">
        <v>2137674</v>
      </c>
      <c r="P54">
        <v>43.7</v>
      </c>
      <c r="Q54" s="6">
        <v>43885.497002314813</v>
      </c>
    </row>
    <row r="55" spans="9:17" x14ac:dyDescent="0.25">
      <c r="I55" t="s">
        <v>29</v>
      </c>
      <c r="J55">
        <v>3786643</v>
      </c>
      <c r="K55" t="s">
        <v>27</v>
      </c>
      <c r="L55">
        <v>32911</v>
      </c>
      <c r="M55" t="s">
        <v>12</v>
      </c>
      <c r="N55">
        <v>10495</v>
      </c>
      <c r="O55">
        <v>2137674</v>
      </c>
      <c r="P55">
        <v>43.4</v>
      </c>
      <c r="Q55" s="6">
        <v>43885.497002314813</v>
      </c>
    </row>
    <row r="56" spans="9:17" x14ac:dyDescent="0.25">
      <c r="I56" t="s">
        <v>29</v>
      </c>
      <c r="J56">
        <v>3786643</v>
      </c>
      <c r="K56" t="s">
        <v>27</v>
      </c>
      <c r="L56">
        <v>32911</v>
      </c>
      <c r="M56" t="s">
        <v>12</v>
      </c>
      <c r="N56">
        <v>10495</v>
      </c>
      <c r="O56">
        <v>2137674</v>
      </c>
      <c r="P56">
        <v>38.799999999999997</v>
      </c>
      <c r="Q56" s="6">
        <v>43885.497013888889</v>
      </c>
    </row>
    <row r="57" spans="9:17" x14ac:dyDescent="0.25">
      <c r="I57" t="s">
        <v>29</v>
      </c>
      <c r="J57">
        <v>3786643</v>
      </c>
      <c r="K57" t="s">
        <v>27</v>
      </c>
      <c r="L57">
        <v>32911</v>
      </c>
      <c r="M57" t="s">
        <v>12</v>
      </c>
      <c r="N57">
        <v>10495</v>
      </c>
      <c r="O57">
        <v>2137674</v>
      </c>
      <c r="P57">
        <v>36.700000000000003</v>
      </c>
      <c r="Q57" s="6">
        <v>43885.497013888889</v>
      </c>
    </row>
    <row r="58" spans="9:17" x14ac:dyDescent="0.25">
      <c r="I58" t="s">
        <v>29</v>
      </c>
      <c r="J58">
        <v>3786643</v>
      </c>
      <c r="K58" t="s">
        <v>27</v>
      </c>
      <c r="L58">
        <v>32911</v>
      </c>
      <c r="M58" t="s">
        <v>12</v>
      </c>
      <c r="N58">
        <v>10495</v>
      </c>
      <c r="O58">
        <v>2137674</v>
      </c>
      <c r="P58">
        <v>39.200000000000003</v>
      </c>
      <c r="Q58" s="6">
        <v>43885.497013888889</v>
      </c>
    </row>
    <row r="59" spans="9:17" x14ac:dyDescent="0.25">
      <c r="I59" t="s">
        <v>29</v>
      </c>
      <c r="J59">
        <v>3786803</v>
      </c>
      <c r="K59" t="s">
        <v>27</v>
      </c>
      <c r="L59">
        <v>32941</v>
      </c>
      <c r="M59" t="s">
        <v>12</v>
      </c>
      <c r="N59">
        <v>10615</v>
      </c>
      <c r="O59">
        <v>2137674</v>
      </c>
      <c r="P59">
        <v>39.4</v>
      </c>
      <c r="Q59" s="6">
        <v>43885.53398148148</v>
      </c>
    </row>
    <row r="60" spans="9:17" x14ac:dyDescent="0.25">
      <c r="I60" t="s">
        <v>29</v>
      </c>
      <c r="J60">
        <v>3786643</v>
      </c>
      <c r="K60" t="s">
        <v>27</v>
      </c>
      <c r="L60">
        <v>32911</v>
      </c>
      <c r="M60" t="s">
        <v>12</v>
      </c>
      <c r="N60">
        <v>10495</v>
      </c>
      <c r="O60">
        <v>2137674</v>
      </c>
      <c r="P60">
        <v>43</v>
      </c>
      <c r="Q60" s="6">
        <v>43885.631319444445</v>
      </c>
    </row>
    <row r="61" spans="9:17" x14ac:dyDescent="0.25">
      <c r="I61" t="s">
        <v>29</v>
      </c>
      <c r="J61">
        <v>3786719</v>
      </c>
      <c r="K61" t="s">
        <v>27</v>
      </c>
      <c r="L61">
        <v>32941</v>
      </c>
      <c r="M61" t="s">
        <v>12</v>
      </c>
      <c r="N61">
        <v>10574</v>
      </c>
      <c r="O61">
        <v>2137674</v>
      </c>
      <c r="P61">
        <v>38.4</v>
      </c>
      <c r="Q61" s="6">
        <v>43885.741354166668</v>
      </c>
    </row>
    <row r="62" spans="9:17" x14ac:dyDescent="0.25">
      <c r="I62" t="s">
        <v>29</v>
      </c>
      <c r="J62">
        <v>3786643</v>
      </c>
      <c r="K62" t="s">
        <v>27</v>
      </c>
      <c r="L62">
        <v>32931</v>
      </c>
      <c r="M62" t="s">
        <v>12</v>
      </c>
      <c r="N62">
        <v>10495</v>
      </c>
      <c r="O62">
        <v>2137674</v>
      </c>
      <c r="P62">
        <v>33.6</v>
      </c>
      <c r="Q62" s="6">
        <v>43885.778923611113</v>
      </c>
    </row>
    <row r="63" spans="9:17" x14ac:dyDescent="0.25">
      <c r="I63" t="s">
        <v>29</v>
      </c>
      <c r="J63">
        <v>3786643</v>
      </c>
      <c r="K63" t="s">
        <v>27</v>
      </c>
      <c r="L63">
        <v>32931</v>
      </c>
      <c r="M63" t="s">
        <v>12</v>
      </c>
      <c r="N63">
        <v>10495</v>
      </c>
      <c r="O63">
        <v>2137674</v>
      </c>
      <c r="P63">
        <v>47.3</v>
      </c>
      <c r="Q63" s="6">
        <v>43885.778923611113</v>
      </c>
    </row>
    <row r="64" spans="9:17" x14ac:dyDescent="0.25">
      <c r="I64" t="s">
        <v>29</v>
      </c>
      <c r="J64">
        <v>3786643</v>
      </c>
      <c r="K64" t="s">
        <v>27</v>
      </c>
      <c r="L64">
        <v>32931</v>
      </c>
      <c r="M64" t="s">
        <v>12</v>
      </c>
      <c r="N64">
        <v>10495</v>
      </c>
      <c r="O64">
        <v>2137674</v>
      </c>
      <c r="P64">
        <v>40.1</v>
      </c>
      <c r="Q64" s="6">
        <v>43885.778935185182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Mesa 3</vt:lpstr>
      <vt:lpstr>Mesa 4</vt:lpstr>
      <vt:lpstr>Mesa 5</vt:lpstr>
      <vt:lpstr>Mesa 6</vt:lpstr>
      <vt:lpstr>Mesa 12</vt:lpstr>
      <vt:lpstr>Mesa 13</vt:lpstr>
      <vt:lpstr>Mesa 16</vt:lpstr>
      <vt:lpstr>Mesa 17</vt:lpstr>
      <vt:lpstr>Mesa 37</vt:lpstr>
      <vt:lpstr>Mesa 38</vt:lpstr>
      <vt:lpstr>Mesa 39</vt:lpstr>
      <vt:lpstr>Mesa 61</vt:lpstr>
      <vt:lpstr>Mesa 62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2020-02-24T18:50:55Z</dcterms:created>
  <dcterms:modified xsi:type="dcterms:W3CDTF">2020-02-25T14:58:01Z</dcterms:modified>
</cp:coreProperties>
</file>