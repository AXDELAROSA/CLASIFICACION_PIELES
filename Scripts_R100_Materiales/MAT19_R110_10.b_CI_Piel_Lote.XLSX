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PROYECTO_PEARL_FEG\PEARL19_Liberacion_R0.00_Base_V0001\Scripts_100_Materiales\"/>
    </mc:Choice>
  </mc:AlternateContent>
  <bookViews>
    <workbookView xWindow="0" yWindow="0" windowWidth="20490" windowHeight="7620" activeTab="1"/>
  </bookViews>
  <sheets>
    <sheet name="TABLA" sheetId="2" r:id="rId1"/>
    <sheet name="CI_" sheetId="1" r:id="rId2"/>
  </sheets>
  <definedNames>
    <definedName name="_xlnm._FilterDatabase" localSheetId="1" hidden="1">CI_!$A$1:$P$9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P1" i="1" l="1"/>
  <c r="M3" i="1" l="1"/>
  <c r="A1" i="2"/>
  <c r="G4" i="1"/>
  <c r="G5" i="1"/>
  <c r="G6" i="1"/>
  <c r="G7" i="1"/>
  <c r="G8" i="1"/>
  <c r="G9" i="1"/>
  <c r="G10" i="1"/>
  <c r="G11" i="1"/>
  <c r="G12" i="1"/>
  <c r="G3" i="1"/>
  <c r="E3" i="1"/>
  <c r="E4" i="1"/>
  <c r="E5" i="1" s="1"/>
  <c r="E6" i="1" s="1"/>
  <c r="E7" i="1" s="1"/>
  <c r="E8" i="1" s="1"/>
  <c r="E9" i="1" s="1"/>
  <c r="E10" i="1" s="1"/>
  <c r="E11" i="1" s="1"/>
  <c r="E12" i="1" s="1"/>
  <c r="I12" i="1" l="1"/>
  <c r="I11" i="1"/>
  <c r="I10" i="1"/>
  <c r="I8" i="1"/>
  <c r="I5" i="1"/>
  <c r="I9" i="1" l="1"/>
  <c r="I7" i="1"/>
  <c r="I3" i="1"/>
  <c r="I4" i="1"/>
  <c r="I6" i="1"/>
  <c r="M2" i="1" l="1"/>
</calcChain>
</file>

<file path=xl/sharedStrings.xml><?xml version="1.0" encoding="utf-8"?>
<sst xmlns="http://schemas.openxmlformats.org/spreadsheetml/2006/main" count="70" uniqueCount="44">
  <si>
    <t>L_DEBUG</t>
  </si>
  <si>
    <t>K_SISTEMA_EXE</t>
  </si>
  <si>
    <t>K_USUARIO_ACCION</t>
  </si>
  <si>
    <t>X</t>
  </si>
  <si>
    <t>Tipo Dato</t>
  </si>
  <si>
    <t>PK</t>
  </si>
  <si>
    <t xml:space="preserve">] </t>
  </si>
  <si>
    <t>-</t>
  </si>
  <si>
    <t>[INT]</t>
  </si>
  <si>
    <t>[VARCHAR](100)</t>
  </si>
  <si>
    <t>[VARCHAR](10)</t>
  </si>
  <si>
    <t>[VARCHAR](255)</t>
  </si>
  <si>
    <t>Nombre Campo</t>
  </si>
  <si>
    <t>[K_CENTRO_EMBARQUE]</t>
  </si>
  <si>
    <t>[S_CENTRO_EMBARQUE]</t>
  </si>
  <si>
    <t>[O_CENTRO_EMBARQUE]</t>
  </si>
  <si>
    <t>[C_CENTRO_EMBARQUE]</t>
  </si>
  <si>
    <t>[L_ESTATUS_CENTRO_EMBARQUE]</t>
  </si>
  <si>
    <t>[K_ESTATUS_CENTRO_EMBARQUE]</t>
  </si>
  <si>
    <t>[K_TIPO_CENTRO_EMBARQUE]</t>
  </si>
  <si>
    <t>[K_PUNTO]</t>
  </si>
  <si>
    <t>[D_CENTRO_EMBARQUE]</t>
  </si>
  <si>
    <t>[L_TERMINAL]</t>
  </si>
  <si>
    <t>[K_TERMINAL]</t>
  </si>
  <si>
    <t>PJL2RC4MCKVT9</t>
  </si>
  <si>
    <t>PJL2RC4MCKVT10</t>
  </si>
  <si>
    <t>PJL2RC4MCKVT11</t>
  </si>
  <si>
    <t>PJL2RC4MCKVT12</t>
  </si>
  <si>
    <t>PJL2RC4MCKVT13</t>
  </si>
  <si>
    <t>PJL2RC4MCKVT14</t>
  </si>
  <si>
    <t>PJL2RC4MCKVT15</t>
  </si>
  <si>
    <t>PJL2RC4MCKVT16</t>
  </si>
  <si>
    <t>PJL2RC4MCKVT17</t>
  </si>
  <si>
    <t>PJL2RC4MCKVT18</t>
  </si>
  <si>
    <t>PIEL_LOTE</t>
  </si>
  <si>
    <t>[K_PIEL_LOTE]</t>
  </si>
  <si>
    <t>EXECUTE [dbo].[PG_CI_</t>
  </si>
  <si>
    <t>[D_PIEL_LOTE]</t>
  </si>
  <si>
    <t>[S_PIEL_LOTE]</t>
  </si>
  <si>
    <t>[O_PIEL_LOTE]</t>
  </si>
  <si>
    <t>[C_PIEL_LOTE]</t>
  </si>
  <si>
    <t>[K_ESTATUS_PIEL_LOTE]</t>
  </si>
  <si>
    <t>[K_TIPO_PIEL_LOTE]</t>
  </si>
  <si>
    <t>[PIEL_LOTE_CANTIDAD]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</si>
</sst>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000"/>
  </numFmts>
  <fonts count="1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i/>
      <sz val="9"/>
      <color rgb="FF00B050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b/>
      <sz val="9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7" fillId="0" borderId="0"/>
    <xf numFmtId="165" fontId="8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8" fillId="0" borderId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2" borderId="0" xfId="0" applyFill="1"/>
    <xf numFmtId="0" fontId="6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ill="1"/>
    <xf numFmtId="0" fontId="9" fillId="0" borderId="0" xfId="0" applyFont="1" applyAlignment="1">
      <alignment horizontal="center"/>
    </xf>
    <xf numFmtId="0" fontId="2" fillId="0" borderId="0" xfId="0" quotePrefix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2" borderId="0" xfId="0" applyFill="1" applyAlignment="1">
      <alignment horizontal="left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quotePrefix="1" applyFont="1" applyFill="1" applyAlignment="1">
      <alignment horizontal="center" vertical="center"/>
    </xf>
    <xf numFmtId="0" fontId="10" fillId="0" borderId="0" xfId="0" applyFont="1" applyFill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3" fillId="0" borderId="0" xfId="0" quotePrefix="1" applyFont="1" applyFill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0" fillId="0" borderId="0" xfId="0" applyFont="1" applyAlignment="1">
      <alignment horizontal="left"/>
    </xf>
    <xf numFmtId="166" fontId="2" fillId="0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quotePrefix="1" applyFont="1" applyAlignment="1">
      <alignment horizontal="left" vertical="center"/>
    </xf>
    <xf numFmtId="0" fontId="3" fillId="0" borderId="0" xfId="0" quotePrefix="1" applyFont="1" applyFill="1" applyAlignment="1">
      <alignment horizontal="left" vertical="center"/>
    </xf>
    <xf numFmtId="0" fontId="11" fillId="0" borderId="0" xfId="0" applyFont="1" applyAlignment="1">
      <alignment horizontal="left"/>
    </xf>
    <xf numFmtId="0" fontId="14" fillId="0" borderId="0" xfId="0" applyFont="1" applyFill="1" applyAlignment="1">
      <alignment horizontal="center"/>
    </xf>
    <xf numFmtId="0" fontId="13" fillId="3" borderId="0" xfId="0" applyFont="1" applyFill="1" applyAlignment="1">
      <alignment vertical="center"/>
    </xf>
  </cellXfs>
  <cellStyles count="8">
    <cellStyle name="Comma 2" xfId="2"/>
    <cellStyle name="Millares 2" xfId="3"/>
    <cellStyle name="Millares 3" xfId="4"/>
    <cellStyle name="Millares 4" xfId="5"/>
    <cellStyle name="Moneda 2" xfId="6"/>
    <cellStyle name="Normal" xfId="0" builtinId="0"/>
    <cellStyle name="Normal 2" xfId="7"/>
    <cellStyle name="Normal 3" xfId="1"/>
  </cellStyles>
  <dxfs count="2">
    <dxf>
      <font>
        <b/>
        <i/>
        <strike val="0"/>
        <color rgb="FFC00000"/>
      </font>
    </dxf>
    <dxf>
      <font>
        <b/>
        <i/>
        <strike val="0"/>
        <color rgb="FFC00000"/>
      </font>
    </dxf>
  </dxfs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L31"/>
  <sheetViews>
    <sheetView workbookViewId="0">
      <selection activeCell="B5" sqref="B5"/>
    </sheetView>
  </sheetViews>
  <sheetFormatPr defaultColWidth="11.42578125" defaultRowHeight="15" x14ac:dyDescent="0.25"/>
  <cols>
    <col min="1" max="1" width="20.85546875" style="4" customWidth="1"/>
    <col min="2" max="2" width="37.5703125" bestFit="1" customWidth="1"/>
    <col min="3" max="3" width="25.85546875" style="31" bestFit="1" customWidth="1"/>
  </cols>
  <sheetData>
    <row r="1" spans="1:4" x14ac:dyDescent="0.25">
      <c r="A1" s="18" t="str">
        <f>(CONCATENATE("PG_CI_",(MID(B4,4,LEN(B4)-4))))</f>
        <v>PG_CI_PIEL_LOTE</v>
      </c>
      <c r="B1" s="6"/>
      <c r="C1" s="30"/>
      <c r="D1" s="6"/>
    </row>
    <row r="3" spans="1:4" x14ac:dyDescent="0.25">
      <c r="A3" s="5" t="s">
        <v>5</v>
      </c>
      <c r="B3" t="s">
        <v>12</v>
      </c>
      <c r="C3" s="31" t="s">
        <v>4</v>
      </c>
    </row>
    <row r="4" spans="1:4" x14ac:dyDescent="0.25">
      <c r="A4" s="4" t="s">
        <v>3</v>
      </c>
      <c r="B4" t="s">
        <v>35</v>
      </c>
      <c r="C4" s="31" t="s">
        <v>8</v>
      </c>
    </row>
    <row r="5" spans="1:4" x14ac:dyDescent="0.25">
      <c r="B5" t="s">
        <v>21</v>
      </c>
      <c r="C5" s="31" t="s">
        <v>9</v>
      </c>
    </row>
    <row r="6" spans="1:4" x14ac:dyDescent="0.25">
      <c r="B6" t="s">
        <v>14</v>
      </c>
      <c r="C6" s="31" t="s">
        <v>10</v>
      </c>
    </row>
    <row r="7" spans="1:4" x14ac:dyDescent="0.25">
      <c r="B7" t="s">
        <v>15</v>
      </c>
      <c r="C7" s="31" t="s">
        <v>8</v>
      </c>
    </row>
    <row r="8" spans="1:4" x14ac:dyDescent="0.25">
      <c r="B8" t="s">
        <v>16</v>
      </c>
      <c r="C8" s="31" t="s">
        <v>11</v>
      </c>
    </row>
    <row r="9" spans="1:4" x14ac:dyDescent="0.25">
      <c r="B9" t="s">
        <v>17</v>
      </c>
      <c r="C9" s="31" t="s">
        <v>8</v>
      </c>
    </row>
    <row r="10" spans="1:4" x14ac:dyDescent="0.25">
      <c r="B10" t="s">
        <v>18</v>
      </c>
      <c r="C10" s="31" t="s">
        <v>8</v>
      </c>
    </row>
    <row r="11" spans="1:4" x14ac:dyDescent="0.25">
      <c r="B11" t="s">
        <v>19</v>
      </c>
      <c r="C11" s="31" t="s">
        <v>8</v>
      </c>
    </row>
    <row r="12" spans="1:4" x14ac:dyDescent="0.25">
      <c r="B12" t="s">
        <v>20</v>
      </c>
      <c r="C12" s="31" t="s">
        <v>8</v>
      </c>
    </row>
    <row r="13" spans="1:4" x14ac:dyDescent="0.25">
      <c r="B13" t="s">
        <v>22</v>
      </c>
      <c r="C13" s="31" t="s">
        <v>8</v>
      </c>
    </row>
    <row r="14" spans="1:4" x14ac:dyDescent="0.25">
      <c r="B14" t="s">
        <v>23</v>
      </c>
      <c r="C14" s="4" t="s">
        <v>8</v>
      </c>
    </row>
    <row r="15" spans="1:4" x14ac:dyDescent="0.25">
      <c r="C15" s="4"/>
    </row>
    <row r="18" spans="2:12" x14ac:dyDescent="0.25">
      <c r="B18" t="s">
        <v>13</v>
      </c>
      <c r="C18" t="s">
        <v>21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19</v>
      </c>
      <c r="J18" t="s">
        <v>20</v>
      </c>
      <c r="K18" t="s">
        <v>22</v>
      </c>
      <c r="L18" t="s">
        <v>23</v>
      </c>
    </row>
    <row r="31" spans="2:12" x14ac:dyDescent="0.25">
      <c r="C31" s="4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V21"/>
  <sheetViews>
    <sheetView tabSelected="1" zoomScaleNormal="100" workbookViewId="0">
      <pane xSplit="6" ySplit="1" topLeftCell="L2" activePane="bottomRight" state="frozen"/>
      <selection pane="topRight" activeCell="G1" sqref="G1"/>
      <selection pane="bottomLeft" activeCell="A2" sqref="A2"/>
      <selection pane="bottomRight" activeCell="M3" sqref="M3:M12"/>
    </sheetView>
  </sheetViews>
  <sheetFormatPr defaultColWidth="11.42578125" defaultRowHeight="15" x14ac:dyDescent="0.25"/>
  <cols>
    <col min="1" max="1" width="8.140625" style="15" bestFit="1" customWidth="1"/>
    <col min="2" max="2" width="10.140625" bestFit="1" customWidth="1"/>
    <col min="3" max="3" width="15" bestFit="1" customWidth="1"/>
    <col min="4" max="4" width="18.28515625" bestFit="1" customWidth="1"/>
    <col min="5" max="5" width="17.5703125" style="17" bestFit="1" customWidth="1"/>
    <col min="6" max="6" width="28" style="11" customWidth="1"/>
    <col min="7" max="7" width="25.140625" style="11" bestFit="1" customWidth="1"/>
    <col min="8" max="8" width="16.28515625" style="28" customWidth="1"/>
    <col min="9" max="9" width="17.28515625" style="34" customWidth="1"/>
    <col min="10" max="10" width="37.5703125" style="17" bestFit="1" customWidth="1"/>
    <col min="11" max="11" width="33.85546875" style="17" bestFit="1" customWidth="1"/>
    <col min="12" max="12" width="16.140625" style="17" bestFit="1" customWidth="1"/>
    <col min="13" max="13" width="25.28515625" customWidth="1"/>
    <col min="14" max="14" width="23.85546875" style="14" bestFit="1" customWidth="1"/>
  </cols>
  <sheetData>
    <row r="1" spans="1:22" s="20" customFormat="1" x14ac:dyDescent="0.25">
      <c r="A1" s="19" t="s">
        <v>34</v>
      </c>
      <c r="B1" s="20" t="s">
        <v>0</v>
      </c>
      <c r="C1" s="20" t="s">
        <v>1</v>
      </c>
      <c r="D1" s="20" t="s">
        <v>2</v>
      </c>
      <c r="E1" t="s">
        <v>35</v>
      </c>
      <c r="F1" t="s">
        <v>37</v>
      </c>
      <c r="G1" t="s">
        <v>38</v>
      </c>
      <c r="H1" t="s">
        <v>39</v>
      </c>
      <c r="I1" s="11" t="s">
        <v>40</v>
      </c>
      <c r="J1" s="4" t="s">
        <v>41</v>
      </c>
      <c r="K1" s="4" t="s">
        <v>42</v>
      </c>
      <c r="L1" s="4" t="s">
        <v>43</v>
      </c>
      <c r="M1" s="36" t="s">
        <v>36</v>
      </c>
      <c r="N1" s="12" t="s">
        <v>34</v>
      </c>
      <c r="O1" s="1" t="s">
        <v>6</v>
      </c>
      <c r="P1" s="1" t="str">
        <f>CONCATENATE($M$1,$N$1,$O$1,B3, ", ", C3, ", ", D3, ", ", )</f>
        <v xml:space="preserve">EXECUTE [dbo].[PG_CI_PIEL_LOTE] 0, 0, 0, </v>
      </c>
    </row>
    <row r="2" spans="1:22" x14ac:dyDescent="0.25">
      <c r="A2" s="4"/>
      <c r="B2" s="8" t="s">
        <v>7</v>
      </c>
      <c r="C2" s="8" t="s">
        <v>7</v>
      </c>
      <c r="D2" s="8" t="s">
        <v>7</v>
      </c>
      <c r="E2" s="16" t="s">
        <v>7</v>
      </c>
      <c r="F2" s="10" t="s">
        <v>7</v>
      </c>
      <c r="G2" s="10" t="s">
        <v>7</v>
      </c>
      <c r="H2" s="25" t="s">
        <v>7</v>
      </c>
      <c r="I2" s="32" t="s">
        <v>7</v>
      </c>
      <c r="J2" s="16"/>
      <c r="K2" s="16"/>
      <c r="L2" s="16"/>
      <c r="M2" s="2" t="str">
        <f>"-- =========================================================="</f>
        <v>-- ==========================================================</v>
      </c>
      <c r="N2" s="12"/>
      <c r="O2" s="7"/>
      <c r="P2" s="1"/>
    </row>
    <row r="3" spans="1:22" s="1" customFormat="1" x14ac:dyDescent="0.25">
      <c r="A3" s="9"/>
      <c r="B3" s="3">
        <v>0</v>
      </c>
      <c r="C3" s="3">
        <v>0</v>
      </c>
      <c r="D3" s="3">
        <v>0</v>
      </c>
      <c r="E3" s="29">
        <f>1</f>
        <v>1</v>
      </c>
      <c r="F3" s="10" t="s">
        <v>24</v>
      </c>
      <c r="G3" s="23" t="str">
        <f>RIGHT(F3,5)</f>
        <v>CKVT9</v>
      </c>
      <c r="H3" s="27">
        <v>1</v>
      </c>
      <c r="I3" s="33" t="str">
        <f t="shared" ref="I3:I12" si="0">CONCATENATE("#",E3," // ",F3)</f>
        <v>#1 // PJL2RC4MCKVT9</v>
      </c>
      <c r="J3" s="4">
        <v>1</v>
      </c>
      <c r="K3" s="4">
        <v>1</v>
      </c>
      <c r="L3" s="35">
        <v>250</v>
      </c>
      <c r="M3" s="24" t="str">
        <f>CONCATENATE($P$1,E3,", '",F3,"', '",G3,"' , ",H3," , '",I3,"' ,",J3,",",K3,",",L3,";")</f>
        <v>EXECUTE [dbo].[PG_CI_PIEL_LOTE] 0, 0, 0, 1, 'PJL2RC4MCKVT9', 'CKVT9' , 1 , '#1 // PJL2RC4MCKVT9' ,1,1,250;</v>
      </c>
      <c r="N3" s="13"/>
    </row>
    <row r="4" spans="1:22" s="1" customFormat="1" x14ac:dyDescent="0.25">
      <c r="A4" s="15"/>
      <c r="B4" s="3">
        <v>0</v>
      </c>
      <c r="C4" s="3">
        <v>0</v>
      </c>
      <c r="D4" s="3">
        <v>0</v>
      </c>
      <c r="E4" s="29">
        <f t="shared" ref="E4:E12" si="1">E3+1</f>
        <v>2</v>
      </c>
      <c r="F4" s="10" t="s">
        <v>25</v>
      </c>
      <c r="G4" s="23" t="str">
        <f t="shared" ref="G4:G12" si="2">RIGHT(F4,5)</f>
        <v>KVT10</v>
      </c>
      <c r="H4" s="27">
        <v>1</v>
      </c>
      <c r="I4" s="33" t="str">
        <f t="shared" si="0"/>
        <v>#2 // PJL2RC4MCKVT10</v>
      </c>
      <c r="J4" s="4">
        <v>1</v>
      </c>
      <c r="K4" s="4">
        <v>1</v>
      </c>
      <c r="L4" s="35">
        <v>300</v>
      </c>
      <c r="M4" s="24" t="str">
        <f t="shared" ref="M4:M12" si="3">CONCATENATE($P$1,E4,", '",F4,"', '",G4,"' , ",H4," , '",I4,"' ,",J4,",",K4,",",L4,";")</f>
        <v>EXECUTE [dbo].[PG_CI_PIEL_LOTE] 0, 0, 0, 2, 'PJL2RC4MCKVT10', 'KVT10' , 1 , '#2 // PJL2RC4MCKVT10' ,1,1,300;</v>
      </c>
      <c r="N4" s="13"/>
    </row>
    <row r="5" spans="1:22" s="1" customFormat="1" x14ac:dyDescent="0.25">
      <c r="A5" s="9"/>
      <c r="B5" s="3">
        <v>0</v>
      </c>
      <c r="C5" s="3">
        <v>0</v>
      </c>
      <c r="D5" s="3">
        <v>0</v>
      </c>
      <c r="E5" s="29">
        <f t="shared" si="1"/>
        <v>3</v>
      </c>
      <c r="F5" s="10" t="s">
        <v>26</v>
      </c>
      <c r="G5" s="23" t="str">
        <f t="shared" si="2"/>
        <v>KVT11</v>
      </c>
      <c r="H5" s="27">
        <v>1</v>
      </c>
      <c r="I5" s="33" t="str">
        <f t="shared" si="0"/>
        <v>#3 // PJL2RC4MCKVT11</v>
      </c>
      <c r="J5" s="4">
        <v>1</v>
      </c>
      <c r="K5" s="4">
        <v>2</v>
      </c>
      <c r="L5" s="4">
        <v>280</v>
      </c>
      <c r="M5" s="24" t="str">
        <f t="shared" si="3"/>
        <v>EXECUTE [dbo].[PG_CI_PIEL_LOTE] 0, 0, 0, 3, 'PJL2RC4MCKVT11', 'KVT11' , 1 , '#3 // PJL2RC4MCKVT11' ,1,2,280;</v>
      </c>
      <c r="N5" s="13"/>
    </row>
    <row r="6" spans="1:22" s="12" customFormat="1" x14ac:dyDescent="0.25">
      <c r="A6" s="15"/>
      <c r="B6" s="3">
        <v>0</v>
      </c>
      <c r="C6" s="3">
        <v>0</v>
      </c>
      <c r="D6" s="3">
        <v>0</v>
      </c>
      <c r="E6" s="29">
        <f t="shared" si="1"/>
        <v>4</v>
      </c>
      <c r="F6" s="10" t="s">
        <v>27</v>
      </c>
      <c r="G6" s="23" t="str">
        <f t="shared" si="2"/>
        <v>KVT12</v>
      </c>
      <c r="H6" s="27">
        <v>1</v>
      </c>
      <c r="I6" s="33" t="str">
        <f t="shared" si="0"/>
        <v>#4 // PJL2RC4MCKVT12</v>
      </c>
      <c r="J6" s="4">
        <v>1</v>
      </c>
      <c r="K6" s="4">
        <v>1</v>
      </c>
      <c r="L6" s="35">
        <v>250</v>
      </c>
      <c r="M6" s="24" t="str">
        <f t="shared" si="3"/>
        <v>EXECUTE [dbo].[PG_CI_PIEL_LOTE] 0, 0, 0, 4, 'PJL2RC4MCKVT12', 'KVT12' , 1 , '#4 // PJL2RC4MCKVT12' ,1,1,250;</v>
      </c>
      <c r="N6" s="13"/>
      <c r="O6" s="1"/>
      <c r="P6" s="1"/>
    </row>
    <row r="7" spans="1:22" s="1" customFormat="1" x14ac:dyDescent="0.25">
      <c r="A7" s="9"/>
      <c r="B7" s="3">
        <v>0</v>
      </c>
      <c r="C7" s="3">
        <v>0</v>
      </c>
      <c r="D7" s="3">
        <v>0</v>
      </c>
      <c r="E7" s="29">
        <f t="shared" si="1"/>
        <v>5</v>
      </c>
      <c r="F7" s="10" t="s">
        <v>28</v>
      </c>
      <c r="G7" s="23" t="str">
        <f t="shared" si="2"/>
        <v>KVT13</v>
      </c>
      <c r="H7" s="27">
        <v>1</v>
      </c>
      <c r="I7" s="33" t="str">
        <f t="shared" si="0"/>
        <v>#5 // PJL2RC4MCKVT13</v>
      </c>
      <c r="J7" s="4">
        <v>1</v>
      </c>
      <c r="K7" s="4">
        <v>1</v>
      </c>
      <c r="L7" s="35">
        <v>270</v>
      </c>
      <c r="M7" s="24" t="str">
        <f t="shared" si="3"/>
        <v>EXECUTE [dbo].[PG_CI_PIEL_LOTE] 0, 0, 0, 5, 'PJL2RC4MCKVT13', 'KVT13' , 1 , '#5 // PJL2RC4MCKVT13' ,1,1,270;</v>
      </c>
      <c r="N7" s="13"/>
    </row>
    <row r="8" spans="1:22" x14ac:dyDescent="0.25">
      <c r="A8" s="9"/>
      <c r="B8" s="3">
        <v>0</v>
      </c>
      <c r="C8" s="3">
        <v>0</v>
      </c>
      <c r="D8" s="3">
        <v>0</v>
      </c>
      <c r="E8" s="29">
        <f t="shared" si="1"/>
        <v>6</v>
      </c>
      <c r="F8" s="10" t="s">
        <v>29</v>
      </c>
      <c r="G8" s="23" t="str">
        <f t="shared" si="2"/>
        <v>KVT14</v>
      </c>
      <c r="H8" s="27">
        <v>1</v>
      </c>
      <c r="I8" s="33" t="str">
        <f t="shared" si="0"/>
        <v>#6 // PJL2RC4MCKVT14</v>
      </c>
      <c r="J8" s="4">
        <v>1</v>
      </c>
      <c r="K8" s="4">
        <v>3</v>
      </c>
      <c r="L8" s="4">
        <v>300</v>
      </c>
      <c r="M8" s="24" t="str">
        <f t="shared" si="3"/>
        <v>EXECUTE [dbo].[PG_CI_PIEL_LOTE] 0, 0, 0, 6, 'PJL2RC4MCKVT14', 'KVT14' , 1 , '#6 // PJL2RC4MCKVT14' ,1,3,300;</v>
      </c>
      <c r="N8" s="13"/>
      <c r="O8" s="1"/>
      <c r="P8" s="1"/>
      <c r="Q8" s="1"/>
    </row>
    <row r="9" spans="1:22" x14ac:dyDescent="0.25">
      <c r="A9" s="9"/>
      <c r="B9" s="3">
        <v>0</v>
      </c>
      <c r="C9" s="3">
        <v>0</v>
      </c>
      <c r="D9" s="3">
        <v>0</v>
      </c>
      <c r="E9" s="29">
        <f t="shared" si="1"/>
        <v>7</v>
      </c>
      <c r="F9" s="10" t="s">
        <v>30</v>
      </c>
      <c r="G9" s="23" t="str">
        <f t="shared" si="2"/>
        <v>KVT15</v>
      </c>
      <c r="H9" s="27">
        <v>1</v>
      </c>
      <c r="I9" s="33" t="str">
        <f t="shared" si="0"/>
        <v>#7 // PJL2RC4MCKVT15</v>
      </c>
      <c r="J9" s="4">
        <v>1</v>
      </c>
      <c r="K9" s="4">
        <v>1</v>
      </c>
      <c r="L9" s="35">
        <v>250</v>
      </c>
      <c r="M9" s="24" t="str">
        <f t="shared" si="3"/>
        <v>EXECUTE [dbo].[PG_CI_PIEL_LOTE] 0, 0, 0, 7, 'PJL2RC4MCKVT15', 'KVT15' , 1 , '#7 // PJL2RC4MCKVT15' ,1,1,250;</v>
      </c>
      <c r="N9" s="13"/>
      <c r="O9" s="1"/>
      <c r="P9" s="1"/>
      <c r="Q9" s="1"/>
    </row>
    <row r="10" spans="1:22" s="1" customFormat="1" x14ac:dyDescent="0.25">
      <c r="A10" s="9"/>
      <c r="B10" s="3">
        <v>0</v>
      </c>
      <c r="C10" s="3">
        <v>0</v>
      </c>
      <c r="D10" s="3">
        <v>0</v>
      </c>
      <c r="E10" s="29">
        <f t="shared" si="1"/>
        <v>8</v>
      </c>
      <c r="F10" s="10" t="s">
        <v>31</v>
      </c>
      <c r="G10" s="23" t="str">
        <f t="shared" si="2"/>
        <v>KVT16</v>
      </c>
      <c r="H10" s="27">
        <v>1</v>
      </c>
      <c r="I10" s="33" t="str">
        <f t="shared" si="0"/>
        <v>#8 // PJL2RC4MCKVT16</v>
      </c>
      <c r="J10" s="4">
        <v>1</v>
      </c>
      <c r="K10" s="4">
        <v>2</v>
      </c>
      <c r="L10" s="35">
        <v>300</v>
      </c>
      <c r="M10" s="24" t="str">
        <f t="shared" si="3"/>
        <v>EXECUTE [dbo].[PG_CI_PIEL_LOTE] 0, 0, 0, 8, 'PJL2RC4MCKVT16', 'KVT16' , 1 , '#8 // PJL2RC4MCKVT16' ,1,2,300;</v>
      </c>
      <c r="N10" s="13"/>
    </row>
    <row r="11" spans="1:22" x14ac:dyDescent="0.25">
      <c r="A11" s="21"/>
      <c r="B11" s="22">
        <v>0</v>
      </c>
      <c r="C11" s="22">
        <v>0</v>
      </c>
      <c r="D11" s="22">
        <v>0</v>
      </c>
      <c r="E11" s="29">
        <f t="shared" si="1"/>
        <v>9</v>
      </c>
      <c r="F11" s="10" t="s">
        <v>32</v>
      </c>
      <c r="G11" s="23" t="str">
        <f t="shared" si="2"/>
        <v>KVT17</v>
      </c>
      <c r="H11" s="26">
        <v>1</v>
      </c>
      <c r="I11" s="33" t="str">
        <f t="shared" si="0"/>
        <v>#9 // PJL2RC4MCKVT17</v>
      </c>
      <c r="J11" s="4">
        <v>1</v>
      </c>
      <c r="K11" s="4">
        <v>1</v>
      </c>
      <c r="L11" s="4">
        <v>280</v>
      </c>
      <c r="M11" s="24" t="str">
        <f t="shared" si="3"/>
        <v>EXECUTE [dbo].[PG_CI_PIEL_LOTE] 0, 0, 0, 9, 'PJL2RC4MCKVT17', 'KVT17' , 1 , '#9 // PJL2RC4MCKVT17' ,1,1,280;</v>
      </c>
      <c r="N11" s="13"/>
      <c r="O11" s="12"/>
      <c r="P11" s="12"/>
      <c r="Q11" s="1"/>
      <c r="R11" s="1"/>
      <c r="S11" s="1"/>
      <c r="T11" s="1"/>
      <c r="U11" s="1"/>
      <c r="V11" s="1"/>
    </row>
    <row r="12" spans="1:22" x14ac:dyDescent="0.25">
      <c r="A12" s="9"/>
      <c r="B12" s="3">
        <v>0</v>
      </c>
      <c r="C12" s="3">
        <v>0</v>
      </c>
      <c r="D12" s="3">
        <v>0</v>
      </c>
      <c r="E12" s="29">
        <f t="shared" si="1"/>
        <v>10</v>
      </c>
      <c r="F12" s="10" t="s">
        <v>33</v>
      </c>
      <c r="G12" s="23" t="str">
        <f t="shared" si="2"/>
        <v>KVT18</v>
      </c>
      <c r="H12" s="27">
        <v>1</v>
      </c>
      <c r="I12" s="33" t="str">
        <f t="shared" si="0"/>
        <v>#10 // PJL2RC4MCKVT18</v>
      </c>
      <c r="J12" s="4">
        <v>1</v>
      </c>
      <c r="K12" s="4">
        <v>3</v>
      </c>
      <c r="L12" s="35">
        <v>250</v>
      </c>
      <c r="M12" s="24" t="str">
        <f t="shared" si="3"/>
        <v>EXECUTE [dbo].[PG_CI_PIEL_LOTE] 0, 0, 0, 10, 'PJL2RC4MCKVT18', 'KVT18' , 1 , '#10 // PJL2RC4MCKVT18' ,1,3,250;</v>
      </c>
      <c r="N12" s="13"/>
      <c r="O12" s="1"/>
      <c r="P12" s="1"/>
    </row>
    <row r="15" spans="1:22" x14ac:dyDescent="0.25">
      <c r="L15" s="35"/>
    </row>
    <row r="16" spans="1:22" x14ac:dyDescent="0.25">
      <c r="L16" s="35"/>
    </row>
    <row r="17" spans="12:13" x14ac:dyDescent="0.25">
      <c r="L17" s="4"/>
    </row>
    <row r="18" spans="12:13" x14ac:dyDescent="0.25">
      <c r="L18" s="35"/>
    </row>
    <row r="21" spans="12:13" x14ac:dyDescent="0.25">
      <c r="M21" s="24"/>
    </row>
  </sheetData>
  <autoFilter ref="A1:P9">
    <sortState ref="A2:T13">
      <sortCondition ref="F1:F10"/>
    </sortState>
  </autoFilter>
  <conditionalFormatting sqref="A1:J1 L1:XFD1">
    <cfRule type="beginsWith" dxfId="1" priority="5" operator="beginsWith" text="[K_">
      <formula>LEFT(A1,LEN("[K_"))="[K_"</formula>
    </cfRule>
  </conditionalFormatting>
  <conditionalFormatting sqref="K1">
    <cfRule type="beginsWith" dxfId="0" priority="1" operator="beginsWith" text="[K_">
      <formula>LEFT(K1,LEN("[K_"))="[K_"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TABLA</vt:lpstr>
      <vt:lpstr>CI_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 la Rosa</dc:creator>
  <cp:lastModifiedBy>Francisco Esteban</cp:lastModifiedBy>
  <dcterms:created xsi:type="dcterms:W3CDTF">2018-09-05T16:16:25Z</dcterms:created>
  <dcterms:modified xsi:type="dcterms:W3CDTF">2019-12-18T18:08:54Z</dcterms:modified>
</cp:coreProperties>
</file>